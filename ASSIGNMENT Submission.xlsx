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eeth Kumar\Desktop\"/>
    </mc:Choice>
  </mc:AlternateContent>
  <xr:revisionPtr revIDLastSave="0" documentId="8_{17E175AE-CECD-4053-9CD9-09E2CB259CE2}" xr6:coauthVersionLast="47" xr6:coauthVersionMax="47" xr10:uidLastSave="{00000000-0000-0000-0000-000000000000}"/>
  <bookViews>
    <workbookView xWindow="-108" yWindow="-108" windowWidth="23256" windowHeight="12456" activeTab="2" xr2:uid="{EFF13EE4-7D48-4B33-B98C-58AE4F49407F}"/>
  </bookViews>
  <sheets>
    <sheet name="Raw_Data" sheetId="1" r:id="rId1"/>
    <sheet name="Clean_Data" sheetId="8" r:id="rId2"/>
    <sheet name="Calculations" sheetId="3" r:id="rId3"/>
    <sheet name="Dashboard" sheetId="4" r:id="rId4"/>
    <sheet name="Assumptions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3" i="3" l="1"/>
  <c r="AC3" i="3"/>
  <c r="AD3" i="3"/>
  <c r="AB4" i="3"/>
  <c r="AC4" i="3"/>
  <c r="AD4" i="3"/>
  <c r="AB5" i="3"/>
  <c r="AC5" i="3"/>
  <c r="AD5" i="3"/>
  <c r="AB6" i="3"/>
  <c r="AC6" i="3"/>
  <c r="AD6" i="3"/>
  <c r="AB7" i="3"/>
  <c r="AC7" i="3"/>
  <c r="AD7" i="3"/>
  <c r="AB8" i="3"/>
  <c r="AC8" i="3"/>
  <c r="AD8" i="3"/>
  <c r="AB9" i="3"/>
  <c r="AC9" i="3"/>
  <c r="AD9" i="3"/>
  <c r="AB10" i="3"/>
  <c r="AC10" i="3"/>
  <c r="AD10" i="3"/>
  <c r="AB11" i="3"/>
  <c r="AC11" i="3"/>
  <c r="AD11" i="3"/>
  <c r="AB12" i="3"/>
  <c r="AC12" i="3"/>
  <c r="AD12" i="3"/>
  <c r="AB13" i="3"/>
  <c r="AC13" i="3"/>
  <c r="AD13" i="3"/>
  <c r="AB14" i="3"/>
  <c r="AC14" i="3"/>
  <c r="AD14" i="3"/>
  <c r="AB15" i="3"/>
  <c r="AC15" i="3"/>
  <c r="AD15" i="3"/>
  <c r="AB16" i="3"/>
  <c r="AC16" i="3"/>
  <c r="AD16" i="3"/>
  <c r="AB17" i="3"/>
  <c r="AC17" i="3"/>
  <c r="AD17" i="3"/>
  <c r="AB18" i="3"/>
  <c r="AC18" i="3"/>
  <c r="AD18" i="3"/>
  <c r="AB19" i="3"/>
  <c r="AC19" i="3"/>
  <c r="AD19" i="3"/>
  <c r="AB20" i="3"/>
  <c r="AC20" i="3"/>
  <c r="AD20" i="3"/>
  <c r="AB21" i="3"/>
  <c r="AC21" i="3"/>
  <c r="AD21" i="3"/>
  <c r="AB22" i="3"/>
  <c r="AC22" i="3"/>
  <c r="AD22" i="3"/>
  <c r="AB23" i="3"/>
  <c r="AC23" i="3"/>
  <c r="AD23" i="3"/>
  <c r="AB24" i="3"/>
  <c r="AC24" i="3"/>
  <c r="AD24" i="3"/>
  <c r="AB25" i="3"/>
  <c r="AC25" i="3"/>
  <c r="AD25" i="3"/>
  <c r="AB26" i="3"/>
  <c r="AC26" i="3"/>
  <c r="AD26" i="3"/>
  <c r="AB27" i="3"/>
  <c r="AC27" i="3"/>
  <c r="AD27" i="3"/>
  <c r="AB28" i="3"/>
  <c r="AC28" i="3"/>
  <c r="AD28" i="3"/>
  <c r="AB29" i="3"/>
  <c r="AC29" i="3"/>
  <c r="AD29" i="3"/>
  <c r="AB30" i="3"/>
  <c r="AC30" i="3"/>
  <c r="AD30" i="3"/>
  <c r="AB31" i="3"/>
  <c r="AC31" i="3"/>
  <c r="AD31" i="3"/>
  <c r="AB32" i="3"/>
  <c r="AC32" i="3"/>
  <c r="AD32" i="3"/>
  <c r="AB33" i="3"/>
  <c r="AC33" i="3"/>
  <c r="AD33" i="3"/>
  <c r="AB34" i="3"/>
  <c r="AC34" i="3"/>
  <c r="AD34" i="3"/>
  <c r="AB35" i="3"/>
  <c r="AC35" i="3"/>
  <c r="AD35" i="3"/>
  <c r="AB36" i="3"/>
  <c r="AC36" i="3"/>
  <c r="AD36" i="3"/>
  <c r="AB37" i="3"/>
  <c r="AC37" i="3"/>
  <c r="AD37" i="3"/>
  <c r="AC2" i="3"/>
  <c r="AD2" i="3"/>
  <c r="AB2" i="3"/>
  <c r="Y3" i="3"/>
  <c r="Z3" i="3"/>
  <c r="AA3" i="3"/>
  <c r="Y4" i="3"/>
  <c r="AA4" i="3" s="1"/>
  <c r="Z4" i="3"/>
  <c r="Y5" i="3"/>
  <c r="AA5" i="3" s="1"/>
  <c r="Z5" i="3"/>
  <c r="Y6" i="3"/>
  <c r="Z6" i="3"/>
  <c r="AA6" i="3"/>
  <c r="Y7" i="3"/>
  <c r="AA7" i="3" s="1"/>
  <c r="Z7" i="3"/>
  <c r="Y8" i="3"/>
  <c r="AA8" i="3" s="1"/>
  <c r="Z8" i="3"/>
  <c r="Y9" i="3"/>
  <c r="Z9" i="3"/>
  <c r="AA9" i="3"/>
  <c r="Y10" i="3"/>
  <c r="Z10" i="3"/>
  <c r="AA10" i="3"/>
  <c r="Y11" i="3"/>
  <c r="AA11" i="3" s="1"/>
  <c r="Z11" i="3"/>
  <c r="Y12" i="3"/>
  <c r="AA12" i="3" s="1"/>
  <c r="Z12" i="3"/>
  <c r="Y13" i="3"/>
  <c r="Z13" i="3"/>
  <c r="AA13" i="3"/>
  <c r="Y14" i="3"/>
  <c r="Z14" i="3"/>
  <c r="AA14" i="3"/>
  <c r="Y15" i="3"/>
  <c r="AA15" i="3" s="1"/>
  <c r="Z15" i="3"/>
  <c r="Y16" i="3"/>
  <c r="AA16" i="3" s="1"/>
  <c r="Z16" i="3"/>
  <c r="Y17" i="3"/>
  <c r="Z17" i="3"/>
  <c r="AA17" i="3"/>
  <c r="Y18" i="3"/>
  <c r="Z18" i="3"/>
  <c r="AA18" i="3"/>
  <c r="Y19" i="3"/>
  <c r="AA19" i="3" s="1"/>
  <c r="Z19" i="3"/>
  <c r="Y20" i="3"/>
  <c r="AA20" i="3" s="1"/>
  <c r="Z20" i="3"/>
  <c r="Y21" i="3"/>
  <c r="Z21" i="3"/>
  <c r="AA21" i="3"/>
  <c r="Y22" i="3"/>
  <c r="Z22" i="3"/>
  <c r="AA22" i="3"/>
  <c r="Y23" i="3"/>
  <c r="AA23" i="3" s="1"/>
  <c r="Z23" i="3"/>
  <c r="Y24" i="3"/>
  <c r="AA24" i="3" s="1"/>
  <c r="Z24" i="3"/>
  <c r="Y25" i="3"/>
  <c r="Z25" i="3"/>
  <c r="AA25" i="3"/>
  <c r="Y26" i="3"/>
  <c r="Z26" i="3"/>
  <c r="AA26" i="3"/>
  <c r="Y27" i="3"/>
  <c r="AA27" i="3" s="1"/>
  <c r="Z27" i="3"/>
  <c r="Y28" i="3"/>
  <c r="AA28" i="3" s="1"/>
  <c r="Z28" i="3"/>
  <c r="Y29" i="3"/>
  <c r="Z29" i="3"/>
  <c r="AA29" i="3"/>
  <c r="Y30" i="3"/>
  <c r="Z30" i="3"/>
  <c r="AA30" i="3"/>
  <c r="Y31" i="3"/>
  <c r="AA31" i="3" s="1"/>
  <c r="Z31" i="3"/>
  <c r="Y32" i="3"/>
  <c r="AA32" i="3" s="1"/>
  <c r="Z32" i="3"/>
  <c r="Y33" i="3"/>
  <c r="Z33" i="3"/>
  <c r="AA33" i="3"/>
  <c r="Y34" i="3"/>
  <c r="Z34" i="3"/>
  <c r="AA34" i="3"/>
  <c r="Y35" i="3"/>
  <c r="AA35" i="3" s="1"/>
  <c r="Z35" i="3"/>
  <c r="Y36" i="3"/>
  <c r="AA36" i="3" s="1"/>
  <c r="Z36" i="3"/>
  <c r="Y37" i="3"/>
  <c r="Z37" i="3"/>
  <c r="AA37" i="3"/>
  <c r="Z2" i="3"/>
  <c r="AA2" i="3"/>
  <c r="Y2" i="3"/>
  <c r="V3" i="3"/>
  <c r="W3" i="3"/>
  <c r="X3" i="3"/>
  <c r="V4" i="3"/>
  <c r="W4" i="3"/>
  <c r="X4" i="3"/>
  <c r="V5" i="3"/>
  <c r="W5" i="3"/>
  <c r="X5" i="3"/>
  <c r="V6" i="3"/>
  <c r="W6" i="3"/>
  <c r="X6" i="3"/>
  <c r="V7" i="3"/>
  <c r="W7" i="3"/>
  <c r="X7" i="3"/>
  <c r="V8" i="3"/>
  <c r="W8" i="3"/>
  <c r="X8" i="3"/>
  <c r="V9" i="3"/>
  <c r="W9" i="3"/>
  <c r="X9" i="3"/>
  <c r="V10" i="3"/>
  <c r="W10" i="3"/>
  <c r="X10" i="3"/>
  <c r="V11" i="3"/>
  <c r="W11" i="3"/>
  <c r="X11" i="3"/>
  <c r="V12" i="3"/>
  <c r="W12" i="3"/>
  <c r="X12" i="3"/>
  <c r="V13" i="3"/>
  <c r="W13" i="3"/>
  <c r="X13" i="3"/>
  <c r="V14" i="3"/>
  <c r="W14" i="3"/>
  <c r="X14" i="3"/>
  <c r="V15" i="3"/>
  <c r="W15" i="3"/>
  <c r="X15" i="3"/>
  <c r="V16" i="3"/>
  <c r="W16" i="3"/>
  <c r="X16" i="3"/>
  <c r="V17" i="3"/>
  <c r="W17" i="3"/>
  <c r="X17" i="3"/>
  <c r="V18" i="3"/>
  <c r="W18" i="3"/>
  <c r="X18" i="3"/>
  <c r="V19" i="3"/>
  <c r="W19" i="3"/>
  <c r="X19" i="3"/>
  <c r="V20" i="3"/>
  <c r="W20" i="3"/>
  <c r="X20" i="3"/>
  <c r="V21" i="3"/>
  <c r="W21" i="3"/>
  <c r="X21" i="3"/>
  <c r="V22" i="3"/>
  <c r="W22" i="3"/>
  <c r="X22" i="3"/>
  <c r="V23" i="3"/>
  <c r="W23" i="3"/>
  <c r="X23" i="3"/>
  <c r="V24" i="3"/>
  <c r="W24" i="3"/>
  <c r="X24" i="3"/>
  <c r="V25" i="3"/>
  <c r="W25" i="3"/>
  <c r="X25" i="3"/>
  <c r="V26" i="3"/>
  <c r="W26" i="3"/>
  <c r="X26" i="3"/>
  <c r="V27" i="3"/>
  <c r="W27" i="3"/>
  <c r="X27" i="3"/>
  <c r="V28" i="3"/>
  <c r="W28" i="3"/>
  <c r="X28" i="3"/>
  <c r="V29" i="3"/>
  <c r="W29" i="3"/>
  <c r="X29" i="3"/>
  <c r="V30" i="3"/>
  <c r="W30" i="3"/>
  <c r="X30" i="3"/>
  <c r="V31" i="3"/>
  <c r="W31" i="3"/>
  <c r="X31" i="3"/>
  <c r="V32" i="3"/>
  <c r="W32" i="3"/>
  <c r="X32" i="3"/>
  <c r="V33" i="3"/>
  <c r="W33" i="3"/>
  <c r="X33" i="3"/>
  <c r="V34" i="3"/>
  <c r="W34" i="3"/>
  <c r="X34" i="3"/>
  <c r="V35" i="3"/>
  <c r="W35" i="3"/>
  <c r="X35" i="3"/>
  <c r="V36" i="3"/>
  <c r="W36" i="3"/>
  <c r="X36" i="3"/>
  <c r="V37" i="3"/>
  <c r="W37" i="3"/>
  <c r="X37" i="3"/>
  <c r="X2" i="3"/>
  <c r="W2" i="3"/>
  <c r="V2" i="3"/>
  <c r="A2" i="3"/>
  <c r="B2" i="3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A3" i="3"/>
  <c r="B3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A4" i="3"/>
  <c r="B4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A5" i="3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A6" i="3"/>
  <c r="B6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A7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A8" i="3"/>
  <c r="B8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A9" i="3"/>
  <c r="B9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A10" i="3"/>
  <c r="B10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A11" i="3"/>
  <c r="B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A12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A13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A14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A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A16" i="3"/>
  <c r="B16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A17" i="3"/>
  <c r="B17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A18" i="3"/>
  <c r="B18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A19" i="3"/>
  <c r="B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A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A21" i="3"/>
  <c r="B21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A22" i="3"/>
  <c r="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A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A24" i="3"/>
  <c r="B24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A25" i="3"/>
  <c r="B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A26" i="3"/>
  <c r="B26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A27" i="3"/>
  <c r="B27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A28" i="3"/>
  <c r="B28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A29" i="3"/>
  <c r="B29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A30" i="3"/>
  <c r="B30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A31" i="3"/>
  <c r="B31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A32" i="3"/>
  <c r="B32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A33" i="3"/>
  <c r="B33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A34" i="3"/>
  <c r="B34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A35" i="3"/>
  <c r="B35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A36" i="3"/>
  <c r="B36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A37" i="3"/>
  <c r="B37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B1" i="3"/>
  <c r="C1" i="3"/>
  <c r="D1" i="3"/>
  <c r="E1" i="3"/>
  <c r="F1" i="3"/>
  <c r="G1" i="3"/>
  <c r="H1" i="3"/>
  <c r="I1" i="3"/>
  <c r="J1" i="3"/>
  <c r="K1" i="3"/>
  <c r="L1" i="3"/>
  <c r="M1" i="3"/>
  <c r="N1" i="3"/>
  <c r="O1" i="3"/>
  <c r="P1" i="3"/>
  <c r="Q1" i="3"/>
  <c r="R1" i="3"/>
  <c r="S1" i="3"/>
  <c r="T1" i="3"/>
  <c r="U1" i="3"/>
  <c r="A1" i="3"/>
  <c r="A3" i="8"/>
  <c r="B3" i="8"/>
  <c r="C3" i="8"/>
  <c r="D3" i="8"/>
  <c r="E3" i="8"/>
  <c r="H3" i="8"/>
  <c r="I3" i="8"/>
  <c r="J3" i="8"/>
  <c r="K3" i="8"/>
  <c r="L3" i="8"/>
  <c r="M3" i="8"/>
  <c r="N3" i="8"/>
  <c r="O3" i="8"/>
  <c r="Q3" i="8"/>
  <c r="S3" i="8"/>
  <c r="U3" i="8"/>
  <c r="A4" i="8"/>
  <c r="B4" i="8"/>
  <c r="C4" i="8"/>
  <c r="D4" i="8"/>
  <c r="E4" i="8"/>
  <c r="H4" i="8"/>
  <c r="I4" i="8"/>
  <c r="J4" i="8"/>
  <c r="K4" i="8"/>
  <c r="L4" i="8"/>
  <c r="M4" i="8"/>
  <c r="N4" i="8"/>
  <c r="O4" i="8"/>
  <c r="Q4" i="8"/>
  <c r="S4" i="8"/>
  <c r="U4" i="8"/>
  <c r="A5" i="8"/>
  <c r="B5" i="8"/>
  <c r="C5" i="8"/>
  <c r="D5" i="8"/>
  <c r="E5" i="8"/>
  <c r="H5" i="8"/>
  <c r="I5" i="8"/>
  <c r="J5" i="8"/>
  <c r="K5" i="8"/>
  <c r="L5" i="8"/>
  <c r="M5" i="8"/>
  <c r="N5" i="8"/>
  <c r="O5" i="8"/>
  <c r="Q5" i="8"/>
  <c r="S5" i="8"/>
  <c r="U5" i="8"/>
  <c r="A6" i="8"/>
  <c r="B6" i="8"/>
  <c r="C6" i="8"/>
  <c r="D6" i="8"/>
  <c r="E6" i="8"/>
  <c r="H6" i="8"/>
  <c r="I6" i="8"/>
  <c r="J6" i="8"/>
  <c r="K6" i="8"/>
  <c r="L6" i="8"/>
  <c r="M6" i="8"/>
  <c r="N6" i="8"/>
  <c r="O6" i="8"/>
  <c r="Q6" i="8"/>
  <c r="S6" i="8"/>
  <c r="U6" i="8"/>
  <c r="A7" i="8"/>
  <c r="B7" i="8"/>
  <c r="C7" i="8"/>
  <c r="D7" i="8"/>
  <c r="E7" i="8"/>
  <c r="H7" i="8"/>
  <c r="I7" i="8"/>
  <c r="J7" i="8"/>
  <c r="K7" i="8"/>
  <c r="L7" i="8"/>
  <c r="M7" i="8"/>
  <c r="N7" i="8"/>
  <c r="O7" i="8"/>
  <c r="Q7" i="8"/>
  <c r="S7" i="8"/>
  <c r="U7" i="8"/>
  <c r="A8" i="8"/>
  <c r="B8" i="8"/>
  <c r="C8" i="8"/>
  <c r="D8" i="8"/>
  <c r="E8" i="8"/>
  <c r="H8" i="8"/>
  <c r="I8" i="8"/>
  <c r="J8" i="8"/>
  <c r="K8" i="8"/>
  <c r="L8" i="8"/>
  <c r="M8" i="8"/>
  <c r="N8" i="8"/>
  <c r="O8" i="8"/>
  <c r="Q8" i="8"/>
  <c r="S8" i="8"/>
  <c r="U8" i="8"/>
  <c r="A9" i="8"/>
  <c r="B9" i="8"/>
  <c r="C9" i="8"/>
  <c r="D9" i="8"/>
  <c r="E9" i="8"/>
  <c r="H9" i="8"/>
  <c r="I9" i="8"/>
  <c r="J9" i="8"/>
  <c r="K9" i="8"/>
  <c r="L9" i="8"/>
  <c r="M9" i="8"/>
  <c r="N9" i="8"/>
  <c r="O9" i="8"/>
  <c r="Q9" i="8"/>
  <c r="S9" i="8"/>
  <c r="U9" i="8"/>
  <c r="A10" i="8"/>
  <c r="B10" i="8"/>
  <c r="C10" i="8"/>
  <c r="D10" i="8"/>
  <c r="E10" i="8"/>
  <c r="H10" i="8"/>
  <c r="I10" i="8"/>
  <c r="J10" i="8"/>
  <c r="K10" i="8"/>
  <c r="L10" i="8"/>
  <c r="M10" i="8"/>
  <c r="N10" i="8"/>
  <c r="O10" i="8"/>
  <c r="Q10" i="8"/>
  <c r="S10" i="8"/>
  <c r="U10" i="8"/>
  <c r="A11" i="8"/>
  <c r="B11" i="8"/>
  <c r="C11" i="8"/>
  <c r="D11" i="8"/>
  <c r="E11" i="8"/>
  <c r="H11" i="8"/>
  <c r="I11" i="8"/>
  <c r="J11" i="8"/>
  <c r="K11" i="8"/>
  <c r="L11" i="8"/>
  <c r="M11" i="8"/>
  <c r="N11" i="8"/>
  <c r="O11" i="8"/>
  <c r="Q11" i="8"/>
  <c r="S11" i="8"/>
  <c r="U11" i="8"/>
  <c r="A12" i="8"/>
  <c r="B12" i="8"/>
  <c r="C12" i="8"/>
  <c r="D12" i="8"/>
  <c r="E12" i="8"/>
  <c r="H12" i="8"/>
  <c r="I12" i="8"/>
  <c r="J12" i="8"/>
  <c r="K12" i="8"/>
  <c r="L12" i="8"/>
  <c r="M12" i="8"/>
  <c r="N12" i="8"/>
  <c r="O12" i="8"/>
  <c r="Q12" i="8"/>
  <c r="S12" i="8"/>
  <c r="U12" i="8"/>
  <c r="A13" i="8"/>
  <c r="B13" i="8"/>
  <c r="C13" i="8"/>
  <c r="D13" i="8"/>
  <c r="E13" i="8"/>
  <c r="H13" i="8"/>
  <c r="I13" i="8"/>
  <c r="J13" i="8"/>
  <c r="K13" i="8"/>
  <c r="L13" i="8"/>
  <c r="M13" i="8"/>
  <c r="N13" i="8"/>
  <c r="O13" i="8"/>
  <c r="Q13" i="8"/>
  <c r="S13" i="8"/>
  <c r="U13" i="8"/>
  <c r="A14" i="8"/>
  <c r="B14" i="8"/>
  <c r="C14" i="8"/>
  <c r="D14" i="8"/>
  <c r="E14" i="8"/>
  <c r="H14" i="8"/>
  <c r="I14" i="8"/>
  <c r="J14" i="8"/>
  <c r="K14" i="8"/>
  <c r="L14" i="8"/>
  <c r="M14" i="8"/>
  <c r="N14" i="8"/>
  <c r="O14" i="8"/>
  <c r="Q14" i="8"/>
  <c r="S14" i="8"/>
  <c r="U14" i="8"/>
  <c r="A15" i="8"/>
  <c r="B15" i="8"/>
  <c r="C15" i="8"/>
  <c r="D15" i="8"/>
  <c r="E15" i="8"/>
  <c r="H15" i="8"/>
  <c r="I15" i="8"/>
  <c r="J15" i="8"/>
  <c r="K15" i="8"/>
  <c r="L15" i="8"/>
  <c r="M15" i="8"/>
  <c r="N15" i="8"/>
  <c r="O15" i="8"/>
  <c r="Q15" i="8"/>
  <c r="S15" i="8"/>
  <c r="U15" i="8"/>
  <c r="A16" i="8"/>
  <c r="B16" i="8"/>
  <c r="C16" i="8"/>
  <c r="D16" i="8"/>
  <c r="E16" i="8"/>
  <c r="H16" i="8"/>
  <c r="I16" i="8"/>
  <c r="J16" i="8"/>
  <c r="K16" i="8"/>
  <c r="L16" i="8"/>
  <c r="M16" i="8"/>
  <c r="N16" i="8"/>
  <c r="O16" i="8"/>
  <c r="Q16" i="8"/>
  <c r="S16" i="8"/>
  <c r="U16" i="8"/>
  <c r="A17" i="8"/>
  <c r="B17" i="8"/>
  <c r="C17" i="8"/>
  <c r="D17" i="8"/>
  <c r="E17" i="8"/>
  <c r="H17" i="8"/>
  <c r="I17" i="8"/>
  <c r="J17" i="8"/>
  <c r="K17" i="8"/>
  <c r="L17" i="8"/>
  <c r="M17" i="8"/>
  <c r="N17" i="8"/>
  <c r="O17" i="8"/>
  <c r="Q17" i="8"/>
  <c r="S17" i="8"/>
  <c r="U17" i="8"/>
  <c r="A18" i="8"/>
  <c r="B18" i="8"/>
  <c r="C18" i="8"/>
  <c r="D18" i="8"/>
  <c r="E18" i="8"/>
  <c r="H18" i="8"/>
  <c r="I18" i="8"/>
  <c r="J18" i="8"/>
  <c r="K18" i="8"/>
  <c r="L18" i="8"/>
  <c r="M18" i="8"/>
  <c r="N18" i="8"/>
  <c r="O18" i="8"/>
  <c r="Q18" i="8"/>
  <c r="S18" i="8"/>
  <c r="U18" i="8"/>
  <c r="A19" i="8"/>
  <c r="B19" i="8"/>
  <c r="C19" i="8"/>
  <c r="D19" i="8"/>
  <c r="E19" i="8"/>
  <c r="H19" i="8"/>
  <c r="I19" i="8"/>
  <c r="J19" i="8"/>
  <c r="K19" i="8"/>
  <c r="L19" i="8"/>
  <c r="M19" i="8"/>
  <c r="N19" i="8"/>
  <c r="O19" i="8"/>
  <c r="Q19" i="8"/>
  <c r="S19" i="8"/>
  <c r="U19" i="8"/>
  <c r="A20" i="8"/>
  <c r="B20" i="8"/>
  <c r="C20" i="8"/>
  <c r="D20" i="8"/>
  <c r="E20" i="8"/>
  <c r="H20" i="8"/>
  <c r="I20" i="8"/>
  <c r="J20" i="8"/>
  <c r="K20" i="8"/>
  <c r="L20" i="8"/>
  <c r="M20" i="8"/>
  <c r="N20" i="8"/>
  <c r="O20" i="8"/>
  <c r="Q20" i="8"/>
  <c r="S20" i="8"/>
  <c r="U20" i="8"/>
  <c r="A21" i="8"/>
  <c r="B21" i="8"/>
  <c r="C21" i="8"/>
  <c r="D21" i="8"/>
  <c r="E21" i="8"/>
  <c r="H21" i="8"/>
  <c r="I21" i="8"/>
  <c r="J21" i="8"/>
  <c r="K21" i="8"/>
  <c r="L21" i="8"/>
  <c r="M21" i="8"/>
  <c r="N21" i="8"/>
  <c r="O21" i="8"/>
  <c r="Q21" i="8"/>
  <c r="S21" i="8"/>
  <c r="U21" i="8"/>
  <c r="A22" i="8"/>
  <c r="B22" i="8"/>
  <c r="C22" i="8"/>
  <c r="D22" i="8"/>
  <c r="E22" i="8"/>
  <c r="H22" i="8"/>
  <c r="I22" i="8"/>
  <c r="J22" i="8"/>
  <c r="K22" i="8"/>
  <c r="L22" i="8"/>
  <c r="M22" i="8"/>
  <c r="N22" i="8"/>
  <c r="O22" i="8"/>
  <c r="Q22" i="8"/>
  <c r="S22" i="8"/>
  <c r="U22" i="8"/>
  <c r="A23" i="8"/>
  <c r="B23" i="8"/>
  <c r="C23" i="8"/>
  <c r="D23" i="8"/>
  <c r="E23" i="8"/>
  <c r="H23" i="8"/>
  <c r="I23" i="8"/>
  <c r="J23" i="8"/>
  <c r="K23" i="8"/>
  <c r="L23" i="8"/>
  <c r="M23" i="8"/>
  <c r="N23" i="8"/>
  <c r="O23" i="8"/>
  <c r="Q23" i="8"/>
  <c r="S23" i="8"/>
  <c r="U23" i="8"/>
  <c r="A24" i="8"/>
  <c r="B24" i="8"/>
  <c r="C24" i="8"/>
  <c r="D24" i="8"/>
  <c r="E24" i="8"/>
  <c r="H24" i="8"/>
  <c r="I24" i="8"/>
  <c r="J24" i="8"/>
  <c r="K24" i="8"/>
  <c r="L24" i="8"/>
  <c r="M24" i="8"/>
  <c r="N24" i="8"/>
  <c r="O24" i="8"/>
  <c r="Q24" i="8"/>
  <c r="S24" i="8"/>
  <c r="U24" i="8"/>
  <c r="A25" i="8"/>
  <c r="B25" i="8"/>
  <c r="C25" i="8"/>
  <c r="D25" i="8"/>
  <c r="E25" i="8"/>
  <c r="H25" i="8"/>
  <c r="I25" i="8"/>
  <c r="J25" i="8"/>
  <c r="K25" i="8"/>
  <c r="L25" i="8"/>
  <c r="M25" i="8"/>
  <c r="N25" i="8"/>
  <c r="O25" i="8"/>
  <c r="Q25" i="8"/>
  <c r="S25" i="8"/>
  <c r="U25" i="8"/>
  <c r="A26" i="8"/>
  <c r="B26" i="8"/>
  <c r="C26" i="8"/>
  <c r="D26" i="8"/>
  <c r="E26" i="8"/>
  <c r="H26" i="8"/>
  <c r="I26" i="8"/>
  <c r="J26" i="8"/>
  <c r="K26" i="8"/>
  <c r="L26" i="8"/>
  <c r="M26" i="8"/>
  <c r="N26" i="8"/>
  <c r="O26" i="8"/>
  <c r="Q26" i="8"/>
  <c r="S26" i="8"/>
  <c r="U26" i="8"/>
  <c r="A27" i="8"/>
  <c r="B27" i="8"/>
  <c r="C27" i="8"/>
  <c r="D27" i="8"/>
  <c r="E27" i="8"/>
  <c r="H27" i="8"/>
  <c r="I27" i="8"/>
  <c r="J27" i="8"/>
  <c r="K27" i="8"/>
  <c r="L27" i="8"/>
  <c r="M27" i="8"/>
  <c r="N27" i="8"/>
  <c r="O27" i="8"/>
  <c r="Q27" i="8"/>
  <c r="S27" i="8"/>
  <c r="U27" i="8"/>
  <c r="A28" i="8"/>
  <c r="B28" i="8"/>
  <c r="C28" i="8"/>
  <c r="D28" i="8"/>
  <c r="E28" i="8"/>
  <c r="H28" i="8"/>
  <c r="I28" i="8"/>
  <c r="J28" i="8"/>
  <c r="K28" i="8"/>
  <c r="L28" i="8"/>
  <c r="M28" i="8"/>
  <c r="N28" i="8"/>
  <c r="O28" i="8"/>
  <c r="Q28" i="8"/>
  <c r="S28" i="8"/>
  <c r="U28" i="8"/>
  <c r="A29" i="8"/>
  <c r="B29" i="8"/>
  <c r="C29" i="8"/>
  <c r="D29" i="8"/>
  <c r="E29" i="8"/>
  <c r="H29" i="8"/>
  <c r="I29" i="8"/>
  <c r="J29" i="8"/>
  <c r="K29" i="8"/>
  <c r="L29" i="8"/>
  <c r="M29" i="8"/>
  <c r="N29" i="8"/>
  <c r="O29" i="8"/>
  <c r="Q29" i="8"/>
  <c r="S29" i="8"/>
  <c r="U29" i="8"/>
  <c r="A30" i="8"/>
  <c r="B30" i="8"/>
  <c r="C30" i="8"/>
  <c r="D30" i="8"/>
  <c r="E30" i="8"/>
  <c r="H30" i="8"/>
  <c r="I30" i="8"/>
  <c r="J30" i="8"/>
  <c r="K30" i="8"/>
  <c r="L30" i="8"/>
  <c r="M30" i="8"/>
  <c r="N30" i="8"/>
  <c r="O30" i="8"/>
  <c r="Q30" i="8"/>
  <c r="S30" i="8"/>
  <c r="U30" i="8"/>
  <c r="A31" i="8"/>
  <c r="B31" i="8"/>
  <c r="C31" i="8"/>
  <c r="D31" i="8"/>
  <c r="E31" i="8"/>
  <c r="H31" i="8"/>
  <c r="I31" i="8"/>
  <c r="J31" i="8"/>
  <c r="K31" i="8"/>
  <c r="L31" i="8"/>
  <c r="M31" i="8"/>
  <c r="N31" i="8"/>
  <c r="O31" i="8"/>
  <c r="Q31" i="8"/>
  <c r="S31" i="8"/>
  <c r="U31" i="8"/>
  <c r="A32" i="8"/>
  <c r="B32" i="8"/>
  <c r="C32" i="8"/>
  <c r="D32" i="8"/>
  <c r="E32" i="8"/>
  <c r="H32" i="8"/>
  <c r="I32" i="8"/>
  <c r="J32" i="8"/>
  <c r="K32" i="8"/>
  <c r="L32" i="8"/>
  <c r="M32" i="8"/>
  <c r="N32" i="8"/>
  <c r="O32" i="8"/>
  <c r="Q32" i="8"/>
  <c r="S32" i="8"/>
  <c r="U32" i="8"/>
  <c r="A33" i="8"/>
  <c r="B33" i="8"/>
  <c r="C33" i="8"/>
  <c r="D33" i="8"/>
  <c r="E33" i="8"/>
  <c r="H33" i="8"/>
  <c r="I33" i="8"/>
  <c r="J33" i="8"/>
  <c r="K33" i="8"/>
  <c r="L33" i="8"/>
  <c r="M33" i="8"/>
  <c r="N33" i="8"/>
  <c r="O33" i="8"/>
  <c r="Q33" i="8"/>
  <c r="S33" i="8"/>
  <c r="U33" i="8"/>
  <c r="A34" i="8"/>
  <c r="B34" i="8"/>
  <c r="C34" i="8"/>
  <c r="D34" i="8"/>
  <c r="E34" i="8"/>
  <c r="H34" i="8"/>
  <c r="I34" i="8"/>
  <c r="J34" i="8"/>
  <c r="K34" i="8"/>
  <c r="L34" i="8"/>
  <c r="M34" i="8"/>
  <c r="N34" i="8"/>
  <c r="O34" i="8"/>
  <c r="Q34" i="8"/>
  <c r="S34" i="8"/>
  <c r="U34" i="8"/>
  <c r="A35" i="8"/>
  <c r="B35" i="8"/>
  <c r="C35" i="8"/>
  <c r="D35" i="8"/>
  <c r="E35" i="8"/>
  <c r="H35" i="8"/>
  <c r="I35" i="8"/>
  <c r="J35" i="8"/>
  <c r="K35" i="8"/>
  <c r="L35" i="8"/>
  <c r="M35" i="8"/>
  <c r="N35" i="8"/>
  <c r="O35" i="8"/>
  <c r="Q35" i="8"/>
  <c r="S35" i="8"/>
  <c r="U35" i="8"/>
  <c r="A36" i="8"/>
  <c r="B36" i="8"/>
  <c r="C36" i="8"/>
  <c r="D36" i="8"/>
  <c r="E36" i="8"/>
  <c r="H36" i="8"/>
  <c r="I36" i="8"/>
  <c r="J36" i="8"/>
  <c r="K36" i="8"/>
  <c r="L36" i="8"/>
  <c r="M36" i="8"/>
  <c r="N36" i="8"/>
  <c r="O36" i="8"/>
  <c r="Q36" i="8"/>
  <c r="S36" i="8"/>
  <c r="U36" i="8"/>
  <c r="A37" i="8"/>
  <c r="B37" i="8"/>
  <c r="C37" i="8"/>
  <c r="D37" i="8"/>
  <c r="E37" i="8"/>
  <c r="H37" i="8"/>
  <c r="I37" i="8"/>
  <c r="J37" i="8"/>
  <c r="K37" i="8"/>
  <c r="L37" i="8"/>
  <c r="M37" i="8"/>
  <c r="N37" i="8"/>
  <c r="O37" i="8"/>
  <c r="Q37" i="8"/>
  <c r="S37" i="8"/>
  <c r="U37" i="8"/>
  <c r="A38" i="8"/>
  <c r="B38" i="8"/>
  <c r="C38" i="8"/>
  <c r="D38" i="8"/>
  <c r="E38" i="8"/>
  <c r="H38" i="8"/>
  <c r="I38" i="8"/>
  <c r="J38" i="8"/>
  <c r="K38" i="8"/>
  <c r="L38" i="8"/>
  <c r="M38" i="8"/>
  <c r="N38" i="8"/>
  <c r="O38" i="8"/>
  <c r="Q38" i="8"/>
  <c r="S38" i="8"/>
  <c r="U38" i="8"/>
  <c r="B2" i="8"/>
  <c r="C2" i="8"/>
  <c r="D2" i="8"/>
  <c r="E2" i="8"/>
  <c r="H2" i="8"/>
  <c r="I2" i="8"/>
  <c r="J2" i="8"/>
  <c r="K2" i="8"/>
  <c r="L2" i="8"/>
  <c r="M2" i="8"/>
  <c r="N2" i="8"/>
  <c r="O2" i="8"/>
  <c r="Q2" i="8"/>
  <c r="S2" i="8"/>
  <c r="U2" i="8"/>
  <c r="A2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L1" i="8"/>
  <c r="M1" i="8"/>
  <c r="N1" i="8"/>
  <c r="O1" i="8"/>
  <c r="Q1" i="8"/>
  <c r="S1" i="8"/>
  <c r="U1" i="8"/>
  <c r="Z1" i="8"/>
  <c r="AA1" i="8"/>
  <c r="AB1" i="8"/>
  <c r="AC1" i="8"/>
  <c r="H1" i="8"/>
  <c r="I1" i="8"/>
  <c r="J1" i="8"/>
  <c r="K1" i="8"/>
  <c r="B1" i="8"/>
  <c r="C1" i="8"/>
  <c r="D1" i="8"/>
  <c r="E1" i="8"/>
  <c r="A1" i="8"/>
</calcChain>
</file>

<file path=xl/sharedStrings.xml><?xml version="1.0" encoding="utf-8"?>
<sst xmlns="http://schemas.openxmlformats.org/spreadsheetml/2006/main" count="516" uniqueCount="192">
  <si>
    <t>Sr.No</t>
  </si>
  <si>
    <t>Institute Name</t>
  </si>
  <si>
    <t>Date &amp; Time</t>
  </si>
  <si>
    <t>Order ID</t>
  </si>
  <si>
    <t>Edviron order ID</t>
  </si>
  <si>
    <t>Order Amt</t>
  </si>
  <si>
    <t>Transaction Amt</t>
  </si>
  <si>
    <t>Payment Method</t>
  </si>
  <si>
    <t>payment_mode</t>
  </si>
  <si>
    <t>Status</t>
  </si>
  <si>
    <t>Student Name</t>
  </si>
  <si>
    <t>Phone No.</t>
  </si>
  <si>
    <t>Vendor Amount</t>
  </si>
  <si>
    <t>Gateway</t>
  </si>
  <si>
    <t>Capture Status</t>
  </si>
  <si>
    <t>Merchant Pricing</t>
  </si>
  <si>
    <t>Merchant Pricing Type</t>
  </si>
  <si>
    <t>Partner Pricing</t>
  </si>
  <si>
    <t>Partner Pricing Type</t>
  </si>
  <si>
    <t>Edviron Buying</t>
  </si>
  <si>
    <t>Edviron Buying type</t>
  </si>
  <si>
    <t>SBNM College of Pharmacy (D. Pharmacy &amp; B.Pharmarcy</t>
  </si>
  <si>
    <t>1/4/2025, 12:31:47 PM</t>
  </si>
  <si>
    <t>EDVI0000002711</t>
  </si>
  <si>
    <t>67eb8f5ba0b8c5db0650bf9c</t>
  </si>
  <si>
    <t>upi</t>
  </si>
  <si>
    <t>UPI</t>
  </si>
  <si>
    <t>SUCCESS</t>
  </si>
  <si>
    <t>RushikeshPatil</t>
  </si>
  <si>
    <t>NA</t>
  </si>
  <si>
    <t>CASHFREE</t>
  </si>
  <si>
    <t>FLAT</t>
  </si>
  <si>
    <t>R P College of Pharmacy</t>
  </si>
  <si>
    <t>11/4/2025, 11:51:49 AM</t>
  </si>
  <si>
    <t>EDVI0000002716</t>
  </si>
  <si>
    <t>67f8b4fdb7b5f003daf0968e</t>
  </si>
  <si>
    <t>Pranav Prakash Deshpande</t>
  </si>
  <si>
    <t>21/4/2025, 10:31:19 am</t>
  </si>
  <si>
    <t>EDVI0000002722</t>
  </si>
  <si>
    <t>6805d11f8218d3a8c0364231</t>
  </si>
  <si>
    <t>Dattatray Uttam Gholve</t>
  </si>
  <si>
    <t>29/4/2025, 11:10:54 am</t>
  </si>
  <si>
    <t>EDVI0000002724</t>
  </si>
  <si>
    <t>681066668dde280c7a057a3a</t>
  </si>
  <si>
    <t>Saniya Wajid Shaikh</t>
  </si>
  <si>
    <t>29/4/2025, 11:14:19 am</t>
  </si>
  <si>
    <t>EDVI0000002725</t>
  </si>
  <si>
    <t>68106733d4b7fd07d305e50a</t>
  </si>
  <si>
    <t>Pooja subhashprasad shukla</t>
  </si>
  <si>
    <t>30/4/2025, 1:53:35 pm</t>
  </si>
  <si>
    <t>EDVI0000004024</t>
  </si>
  <si>
    <t>6811de07d4b7fd07d306cb37</t>
  </si>
  <si>
    <t>BEGADE HALIMA BADSHAHA</t>
  </si>
  <si>
    <t>30/4/2025, 2:03:25 pm</t>
  </si>
  <si>
    <t>EDVI0000004025</t>
  </si>
  <si>
    <t>6811e055d4b7fd07d306ceed</t>
  </si>
  <si>
    <t>JADHAV GAURAV SANTOSH</t>
  </si>
  <si>
    <t>14/6/2025, 11:24:42 am</t>
  </si>
  <si>
    <t>EDVI0000004079</t>
  </si>
  <si>
    <t>684d0ea2b1091c01feb8de58</t>
  </si>
  <si>
    <t>Others</t>
  </si>
  <si>
    <t>SOHAM SAGAR KHOT</t>
  </si>
  <si>
    <t>7/7/2025, 4:08:10 PM</t>
  </si>
  <si>
    <t>EDVI0000004105</t>
  </si>
  <si>
    <t>686ba3924e76b124b7acdd57</t>
  </si>
  <si>
    <t>Test Student</t>
  </si>
  <si>
    <t>ST MICHAEL'S SCHOOL FOR GIRLS</t>
  </si>
  <si>
    <t>14/11/2025, 10:46:26 am</t>
  </si>
  <si>
    <t>SMED0000000331</t>
  </si>
  <si>
    <t>6916bb2afede88bc173e1480</t>
  </si>
  <si>
    <t>RUDRANI SENGUPTA</t>
  </si>
  <si>
    <t>EDVIRON_EASEBUZZ</t>
  </si>
  <si>
    <t>30/11/2025, 2:29:11 pm</t>
  </si>
  <si>
    <t>SMED0000000337</t>
  </si>
  <si>
    <t>692c075f09edb37dee1521c4</t>
  </si>
  <si>
    <t>VASUDHA ALOK</t>
  </si>
  <si>
    <t>1/12/2025, 1:41:08 PM</t>
  </si>
  <si>
    <t>SMED0000000339</t>
  </si>
  <si>
    <t>692d4d9c4b29e4e74d7d73d4</t>
  </si>
  <si>
    <t>-</t>
  </si>
  <si>
    <t>SHRITI SHARMA</t>
  </si>
  <si>
    <t>2/12/2025, 9:46:41 AM</t>
  </si>
  <si>
    <t>SMED0000000346</t>
  </si>
  <si>
    <t>692e6829520e62e5c16bbb56</t>
  </si>
  <si>
    <t>SUBHASMITA SANYAL</t>
  </si>
  <si>
    <t>2/12/2025, 2:06:21 PM</t>
  </si>
  <si>
    <t>SMED0000000349</t>
  </si>
  <si>
    <t>692ea505520e62e5c16e09b6</t>
  </si>
  <si>
    <t>PRAANAVI PURKAYASTHA</t>
  </si>
  <si>
    <t>3/12/2025, 10:46:31 AM</t>
  </si>
  <si>
    <t>SMED0000000352</t>
  </si>
  <si>
    <t>692fc7af0dd7d8c4549949d0</t>
  </si>
  <si>
    <t>MAHIRA SHARMA</t>
  </si>
  <si>
    <t>3/12/2025, 10:21:18 PM</t>
  </si>
  <si>
    <t>SMED0000000354</t>
  </si>
  <si>
    <t>69306a86fd4e190db77fe493</t>
  </si>
  <si>
    <t>AANUSAH REZA</t>
  </si>
  <si>
    <t>5/12/2025, 12:07:17 PM</t>
  </si>
  <si>
    <t>SMED0000000362</t>
  </si>
  <si>
    <t>69327d9d3ba018b7e9e5aca0</t>
  </si>
  <si>
    <t>DIVISHA BANERJEE</t>
  </si>
  <si>
    <t>6/12/2025, 7:49:59 AM</t>
  </si>
  <si>
    <t>SMED0000000366</t>
  </si>
  <si>
    <t>693392cfef53c64bd04b097e</t>
  </si>
  <si>
    <t>WRIDDHIMA SANTRA</t>
  </si>
  <si>
    <t>6/12/2025, 1:22:07 PM</t>
  </si>
  <si>
    <t>SMED0000000369</t>
  </si>
  <si>
    <t>6933e0a7ef53c64bd04d3ecb</t>
  </si>
  <si>
    <t>TRIPA AGARWAL</t>
  </si>
  <si>
    <t>7/12/2025, 11:55:56 AM</t>
  </si>
  <si>
    <t>SMED0000000372</t>
  </si>
  <si>
    <t>69351df4ef53c64bd052086e</t>
  </si>
  <si>
    <t>KAVYA MAHTO</t>
  </si>
  <si>
    <t>7/12/2025, 1:29:35 PM</t>
  </si>
  <si>
    <t>SMED0000000373</t>
  </si>
  <si>
    <t>693533e7ef53c64bd0525adc</t>
  </si>
  <si>
    <t>YUVIKA AGARWAL</t>
  </si>
  <si>
    <t>8/12/2025, 7:38:40 AM</t>
  </si>
  <si>
    <t>SMED0000000375</t>
  </si>
  <si>
    <t>69363328ef53c64bd05736b9</t>
  </si>
  <si>
    <t>FRIYA AGARWAL</t>
  </si>
  <si>
    <t>8/12/2025, 9:08:54 AM</t>
  </si>
  <si>
    <t>SMED0000000377</t>
  </si>
  <si>
    <t>6936484eef53c64bd05830eb</t>
  </si>
  <si>
    <t>SHANAYA CHIRANIA</t>
  </si>
  <si>
    <t>8/12/2025, 12:28:54 PM</t>
  </si>
  <si>
    <t>SMED0000000380</t>
  </si>
  <si>
    <t>6936772e10c404549b6eb695</t>
  </si>
  <si>
    <t>ISHANVI PRADHAN</t>
  </si>
  <si>
    <t>9/12/2025, 12:46:20 PM</t>
  </si>
  <si>
    <t>SMED0000000381</t>
  </si>
  <si>
    <t>6937ccc4fab6ff5b0ed38339</t>
  </si>
  <si>
    <t>13/12/2025, 10:23:18 am</t>
  </si>
  <si>
    <t>SMED0000000391</t>
  </si>
  <si>
    <t>693cf13e7dc8450efa2e354d</t>
  </si>
  <si>
    <t>success</t>
  </si>
  <si>
    <t>SANBI HALDER</t>
  </si>
  <si>
    <t>13/12/2025, 11:07:16 am</t>
  </si>
  <si>
    <t>SMED0000000395</t>
  </si>
  <si>
    <t>693cfb8c7dc8450efa2e6e60</t>
  </si>
  <si>
    <t>KHUSI ROY</t>
  </si>
  <si>
    <t>15/12/2025, 2:08:52 pm</t>
  </si>
  <si>
    <t>SMED0000000396</t>
  </si>
  <si>
    <t>693fc91c7fde54e8f0f752ed</t>
  </si>
  <si>
    <t>ALIZA KHAN</t>
  </si>
  <si>
    <t>19/12/2025, 2:48:47 pm</t>
  </si>
  <si>
    <t>SMED0000000400</t>
  </si>
  <si>
    <t>69451877cded364e3f821dbc</t>
  </si>
  <si>
    <t>ANU PRIYA</t>
  </si>
  <si>
    <t>19/12/2025, 3:36:26 pm</t>
  </si>
  <si>
    <t>SMED0000000402</t>
  </si>
  <si>
    <t>694523a2cded364e3f8240d1</t>
  </si>
  <si>
    <t>TRISIKHA DEBNATH</t>
  </si>
  <si>
    <t>19/12/2025, 6:19:15 pm</t>
  </si>
  <si>
    <t>SMED0000000403</t>
  </si>
  <si>
    <t>694549cbcded364e3f82cee1</t>
  </si>
  <si>
    <t>AADYA GUPTA</t>
  </si>
  <si>
    <t>26/12/2025, 1:28:01 pm</t>
  </si>
  <si>
    <t>SMED0000000406</t>
  </si>
  <si>
    <t>694e40094a6460a709bf8467</t>
  </si>
  <si>
    <t>GITASHRI MAHATO</t>
  </si>
  <si>
    <t>1/1/2026, 12:15:40 PM</t>
  </si>
  <si>
    <t>SMED0000000415</t>
  </si>
  <si>
    <t>6956181407081d7fb6ab744a</t>
  </si>
  <si>
    <t>SONAL KEDIA</t>
  </si>
  <si>
    <t>16/1/2026, 12:56:58 pm</t>
  </si>
  <si>
    <t>SMED0000000439</t>
  </si>
  <si>
    <t>6969e84235a8e67a2c342c09</t>
  </si>
  <si>
    <t>BIDITA SARKAR</t>
  </si>
  <si>
    <t>21/1/2026, 9:17:14 pm</t>
  </si>
  <si>
    <t>SMED0000000453</t>
  </si>
  <si>
    <t>6970f5028b01c1a52bceaea6</t>
  </si>
  <si>
    <t>TRISHA SAHA</t>
  </si>
  <si>
    <t>22/1/2026, 3:45:52 pm</t>
  </si>
  <si>
    <t>SMED0000000454</t>
  </si>
  <si>
    <t>6971f8d8595909a602bf52cc</t>
  </si>
  <si>
    <t>TONUSHREE SAHA</t>
  </si>
  <si>
    <t>29/1/2026, 9:34:31 pm</t>
  </si>
  <si>
    <t>SMED0000000460</t>
  </si>
  <si>
    <t>697b850f0a91fbff417eab30</t>
  </si>
  <si>
    <t>AADHYA DAS</t>
  </si>
  <si>
    <t>Trasaction Amount</t>
  </si>
  <si>
    <t>Ordear Amt</t>
  </si>
  <si>
    <t>ERP Revenue</t>
  </si>
  <si>
    <t>Edviron Net Revenue</t>
  </si>
  <si>
    <t>Partner $</t>
  </si>
  <si>
    <t>Buying $</t>
  </si>
  <si>
    <t>Merchnat $</t>
  </si>
  <si>
    <t>Edviron Gross Revenue</t>
  </si>
  <si>
    <t>ERP Payable</t>
  </si>
  <si>
    <t>Edviron Retained</t>
  </si>
  <si>
    <t>Pending Exposure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</si>
</sst>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" xfId="0" applyBorder="1" applyAlignment="1">
      <alignment wrapText="1"/>
    </xf>
    <xf numFmtId="0" fontId="3" fillId="0" borderId="1" xfId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vertical="center"/>
    </xf>
    <xf numFmtId="11" fontId="2" fillId="0" borderId="1" xfId="0" applyNumberFormat="1" applyFont="1" applyBorder="1" applyAlignment="1">
      <alignment wrapText="1"/>
    </xf>
    <xf numFmtId="0" fontId="0" fillId="0" borderId="0" xfId="0" applyAlignment="1">
      <alignment vertic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r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2F925-9E8C-4D5B-99B9-DCB04F50537D}">
  <dimension ref="A1:U38"/>
  <sheetViews>
    <sheetView zoomScale="78" zoomScaleNormal="136" workbookViewId="0">
      <selection activeCell="K1" sqref="K1"/>
    </sheetView>
  </sheetViews>
  <sheetFormatPr defaultRowHeight="13.2" x14ac:dyDescent="0.25"/>
  <sheetData>
    <row r="1" spans="1:21" ht="40.200000000000003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ht="120" thickBot="1" x14ac:dyDescent="0.35">
      <c r="A2" s="4">
        <v>1</v>
      </c>
      <c r="B2" s="1" t="s">
        <v>21</v>
      </c>
      <c r="C2" s="4" t="s">
        <v>22</v>
      </c>
      <c r="D2" s="1" t="s">
        <v>23</v>
      </c>
      <c r="E2" s="1" t="s">
        <v>24</v>
      </c>
      <c r="F2" s="4">
        <v>3800</v>
      </c>
      <c r="G2" s="4">
        <v>3802.36</v>
      </c>
      <c r="H2" s="1" t="s">
        <v>25</v>
      </c>
      <c r="I2" s="1" t="s">
        <v>26</v>
      </c>
      <c r="J2" s="1" t="s">
        <v>27</v>
      </c>
      <c r="K2" s="1" t="s">
        <v>28</v>
      </c>
      <c r="L2" s="1"/>
      <c r="M2" s="1" t="s">
        <v>29</v>
      </c>
      <c r="N2" s="1" t="s">
        <v>30</v>
      </c>
      <c r="O2" s="1"/>
      <c r="P2" s="5">
        <v>2</v>
      </c>
      <c r="Q2" s="6" t="s">
        <v>31</v>
      </c>
      <c r="R2" s="5">
        <v>2</v>
      </c>
      <c r="S2" s="6" t="s">
        <v>31</v>
      </c>
      <c r="T2" s="4">
        <v>0</v>
      </c>
      <c r="U2" s="6" t="s">
        <v>31</v>
      </c>
    </row>
    <row r="3" spans="1:21" ht="67.2" thickBot="1" x14ac:dyDescent="0.35">
      <c r="A3" s="4">
        <v>2</v>
      </c>
      <c r="B3" s="1" t="s">
        <v>32</v>
      </c>
      <c r="C3" s="4" t="s">
        <v>33</v>
      </c>
      <c r="D3" s="1" t="s">
        <v>34</v>
      </c>
      <c r="E3" s="1" t="s">
        <v>35</v>
      </c>
      <c r="F3" s="4">
        <v>15000</v>
      </c>
      <c r="G3" s="4">
        <v>15002.36</v>
      </c>
      <c r="H3" s="1" t="s">
        <v>25</v>
      </c>
      <c r="I3" s="1" t="s">
        <v>26</v>
      </c>
      <c r="J3" s="1" t="s">
        <v>27</v>
      </c>
      <c r="K3" s="7" t="s">
        <v>36</v>
      </c>
      <c r="L3" s="1"/>
      <c r="M3" s="1" t="s">
        <v>29</v>
      </c>
      <c r="N3" s="1" t="s">
        <v>30</v>
      </c>
      <c r="O3" s="1"/>
      <c r="P3" s="5">
        <v>2</v>
      </c>
      <c r="Q3" s="6" t="s">
        <v>31</v>
      </c>
      <c r="R3" s="5">
        <v>2</v>
      </c>
      <c r="S3" s="6" t="s">
        <v>31</v>
      </c>
      <c r="T3" s="4">
        <v>0</v>
      </c>
      <c r="U3" s="6" t="s">
        <v>31</v>
      </c>
    </row>
    <row r="4" spans="1:21" ht="67.2" thickBot="1" x14ac:dyDescent="0.35">
      <c r="A4" s="4">
        <v>3</v>
      </c>
      <c r="B4" s="1" t="s">
        <v>32</v>
      </c>
      <c r="C4" s="1" t="s">
        <v>37</v>
      </c>
      <c r="D4" s="1" t="s">
        <v>38</v>
      </c>
      <c r="E4" s="1" t="s">
        <v>39</v>
      </c>
      <c r="F4" s="4">
        <v>10000</v>
      </c>
      <c r="G4" s="4">
        <v>10002.36</v>
      </c>
      <c r="H4" s="1" t="s">
        <v>25</v>
      </c>
      <c r="I4" s="1" t="s">
        <v>26</v>
      </c>
      <c r="J4" s="1" t="s">
        <v>27</v>
      </c>
      <c r="K4" s="7" t="s">
        <v>40</v>
      </c>
      <c r="L4" s="1"/>
      <c r="M4" s="1" t="s">
        <v>29</v>
      </c>
      <c r="N4" s="1" t="s">
        <v>30</v>
      </c>
      <c r="O4" s="1"/>
      <c r="P4" s="5">
        <v>2</v>
      </c>
      <c r="Q4" s="6" t="s">
        <v>31</v>
      </c>
      <c r="R4" s="5">
        <v>2</v>
      </c>
      <c r="S4" s="6" t="s">
        <v>31</v>
      </c>
      <c r="T4" s="4">
        <v>0</v>
      </c>
      <c r="U4" s="6" t="s">
        <v>31</v>
      </c>
    </row>
    <row r="5" spans="1:21" ht="67.2" thickBot="1" x14ac:dyDescent="0.35">
      <c r="A5" s="4">
        <v>4</v>
      </c>
      <c r="B5" s="1" t="s">
        <v>32</v>
      </c>
      <c r="C5" s="1" t="s">
        <v>41</v>
      </c>
      <c r="D5" s="1" t="s">
        <v>42</v>
      </c>
      <c r="E5" s="1" t="s">
        <v>43</v>
      </c>
      <c r="F5" s="4">
        <v>5000</v>
      </c>
      <c r="G5" s="4">
        <v>5002.3599999999997</v>
      </c>
      <c r="H5" s="1" t="s">
        <v>25</v>
      </c>
      <c r="I5" s="1" t="s">
        <v>26</v>
      </c>
      <c r="J5" s="1" t="s">
        <v>27</v>
      </c>
      <c r="K5" s="7" t="s">
        <v>44</v>
      </c>
      <c r="L5" s="1"/>
      <c r="M5" s="1" t="s">
        <v>29</v>
      </c>
      <c r="N5" s="1" t="s">
        <v>30</v>
      </c>
      <c r="O5" s="1"/>
      <c r="P5" s="5">
        <v>2</v>
      </c>
      <c r="Q5" s="6" t="s">
        <v>31</v>
      </c>
      <c r="R5" s="5">
        <v>2</v>
      </c>
      <c r="S5" s="6" t="s">
        <v>31</v>
      </c>
      <c r="T5" s="4">
        <v>0</v>
      </c>
      <c r="U5" s="6" t="s">
        <v>31</v>
      </c>
    </row>
    <row r="6" spans="1:21" ht="67.2" thickBot="1" x14ac:dyDescent="0.35">
      <c r="A6" s="4">
        <v>5</v>
      </c>
      <c r="B6" s="1" t="s">
        <v>32</v>
      </c>
      <c r="C6" s="1" t="s">
        <v>45</v>
      </c>
      <c r="D6" s="1" t="s">
        <v>46</v>
      </c>
      <c r="E6" s="1" t="s">
        <v>47</v>
      </c>
      <c r="F6" s="4">
        <v>5000</v>
      </c>
      <c r="G6" s="4">
        <v>5002.3599999999997</v>
      </c>
      <c r="H6" s="1" t="s">
        <v>25</v>
      </c>
      <c r="I6" s="1" t="s">
        <v>26</v>
      </c>
      <c r="J6" s="1" t="s">
        <v>27</v>
      </c>
      <c r="K6" s="7" t="s">
        <v>48</v>
      </c>
      <c r="L6" s="1"/>
      <c r="M6" s="1" t="s">
        <v>29</v>
      </c>
      <c r="N6" s="1" t="s">
        <v>30</v>
      </c>
      <c r="O6" s="1"/>
      <c r="P6" s="5">
        <v>2</v>
      </c>
      <c r="Q6" s="6" t="s">
        <v>31</v>
      </c>
      <c r="R6" s="5">
        <v>2</v>
      </c>
      <c r="S6" s="6" t="s">
        <v>31</v>
      </c>
      <c r="T6" s="4">
        <v>0</v>
      </c>
      <c r="U6" s="6" t="s">
        <v>31</v>
      </c>
    </row>
    <row r="7" spans="1:21" ht="67.2" thickBot="1" x14ac:dyDescent="0.35">
      <c r="A7" s="4">
        <v>6</v>
      </c>
      <c r="B7" s="1" t="s">
        <v>32</v>
      </c>
      <c r="C7" s="1" t="s">
        <v>49</v>
      </c>
      <c r="D7" s="1" t="s">
        <v>50</v>
      </c>
      <c r="E7" s="1" t="s">
        <v>51</v>
      </c>
      <c r="F7" s="4">
        <v>10000</v>
      </c>
      <c r="G7" s="4">
        <v>10002.36</v>
      </c>
      <c r="H7" s="1" t="s">
        <v>25</v>
      </c>
      <c r="I7" s="1" t="s">
        <v>26</v>
      </c>
      <c r="J7" s="1" t="s">
        <v>27</v>
      </c>
      <c r="K7" s="7" t="s">
        <v>52</v>
      </c>
      <c r="L7" s="1"/>
      <c r="M7" s="1" t="s">
        <v>29</v>
      </c>
      <c r="N7" s="1" t="s">
        <v>30</v>
      </c>
      <c r="O7" s="1"/>
      <c r="P7" s="5">
        <v>2</v>
      </c>
      <c r="Q7" s="6" t="s">
        <v>31</v>
      </c>
      <c r="R7" s="5">
        <v>2</v>
      </c>
      <c r="S7" s="6" t="s">
        <v>31</v>
      </c>
      <c r="T7" s="4">
        <v>0</v>
      </c>
      <c r="U7" s="6" t="s">
        <v>31</v>
      </c>
    </row>
    <row r="8" spans="1:21" ht="67.2" thickBot="1" x14ac:dyDescent="0.35">
      <c r="A8" s="4">
        <v>7</v>
      </c>
      <c r="B8" s="1" t="s">
        <v>32</v>
      </c>
      <c r="C8" s="1" t="s">
        <v>53</v>
      </c>
      <c r="D8" s="1" t="s">
        <v>54</v>
      </c>
      <c r="E8" s="1" t="s">
        <v>55</v>
      </c>
      <c r="F8" s="4">
        <v>18836</v>
      </c>
      <c r="G8" s="4">
        <v>18838.36</v>
      </c>
      <c r="H8" s="1" t="s">
        <v>25</v>
      </c>
      <c r="I8" s="1" t="s">
        <v>26</v>
      </c>
      <c r="J8" s="1" t="s">
        <v>27</v>
      </c>
      <c r="K8" s="7" t="s">
        <v>56</v>
      </c>
      <c r="L8" s="1"/>
      <c r="M8" s="1" t="s">
        <v>29</v>
      </c>
      <c r="N8" s="1" t="s">
        <v>30</v>
      </c>
      <c r="O8" s="1"/>
      <c r="P8" s="5">
        <v>2</v>
      </c>
      <c r="Q8" s="6" t="s">
        <v>31</v>
      </c>
      <c r="R8" s="5">
        <v>2</v>
      </c>
      <c r="S8" s="6" t="s">
        <v>31</v>
      </c>
      <c r="T8" s="4">
        <v>0</v>
      </c>
      <c r="U8" s="6" t="s">
        <v>31</v>
      </c>
    </row>
    <row r="9" spans="1:21" ht="72.599999999999994" thickBot="1" x14ac:dyDescent="0.35">
      <c r="A9" s="5">
        <v>1</v>
      </c>
      <c r="B9" s="6" t="s">
        <v>32</v>
      </c>
      <c r="C9" s="6" t="s">
        <v>57</v>
      </c>
      <c r="D9" s="6" t="s">
        <v>58</v>
      </c>
      <c r="E9" s="6" t="s">
        <v>59</v>
      </c>
      <c r="F9" s="5">
        <v>10576</v>
      </c>
      <c r="G9" s="5">
        <v>10578.36</v>
      </c>
      <c r="H9" s="6" t="s">
        <v>25</v>
      </c>
      <c r="I9" s="6" t="s">
        <v>60</v>
      </c>
      <c r="J9" s="6" t="s">
        <v>27</v>
      </c>
      <c r="K9" s="10" t="s">
        <v>61</v>
      </c>
      <c r="L9" s="11"/>
      <c r="M9" s="6" t="s">
        <v>29</v>
      </c>
      <c r="N9" s="10" t="s">
        <v>30</v>
      </c>
      <c r="O9" s="11"/>
      <c r="P9" s="5">
        <v>2</v>
      </c>
      <c r="Q9" s="6" t="s">
        <v>31</v>
      </c>
      <c r="R9" s="5">
        <v>2</v>
      </c>
      <c r="S9" s="6" t="s">
        <v>31</v>
      </c>
      <c r="T9" s="4">
        <v>0</v>
      </c>
      <c r="U9" s="6" t="s">
        <v>31</v>
      </c>
    </row>
    <row r="10" spans="1:21" ht="72.599999999999994" thickBot="1" x14ac:dyDescent="0.35">
      <c r="A10" s="5">
        <v>2</v>
      </c>
      <c r="B10" s="6" t="s">
        <v>32</v>
      </c>
      <c r="C10" s="5" t="s">
        <v>62</v>
      </c>
      <c r="D10" s="6" t="s">
        <v>63</v>
      </c>
      <c r="E10" s="6" t="s">
        <v>64</v>
      </c>
      <c r="F10" s="5">
        <v>1</v>
      </c>
      <c r="G10" s="5">
        <v>3.36</v>
      </c>
      <c r="H10" s="6" t="s">
        <v>25</v>
      </c>
      <c r="I10" s="6" t="s">
        <v>60</v>
      </c>
      <c r="J10" s="6" t="s">
        <v>27</v>
      </c>
      <c r="K10" s="10" t="s">
        <v>65</v>
      </c>
      <c r="L10" s="11"/>
      <c r="M10" s="6" t="s">
        <v>29</v>
      </c>
      <c r="N10" s="10" t="s">
        <v>30</v>
      </c>
      <c r="O10" s="11"/>
      <c r="P10" s="5">
        <v>2</v>
      </c>
      <c r="Q10" s="6" t="s">
        <v>31</v>
      </c>
      <c r="R10" s="5">
        <v>2</v>
      </c>
      <c r="S10" s="6" t="s">
        <v>31</v>
      </c>
      <c r="T10" s="4">
        <v>0</v>
      </c>
      <c r="U10" s="6" t="s">
        <v>31</v>
      </c>
    </row>
    <row r="11" spans="1:21" ht="87" thickBot="1" x14ac:dyDescent="0.35">
      <c r="A11" s="5">
        <v>6</v>
      </c>
      <c r="B11" s="6" t="s">
        <v>66</v>
      </c>
      <c r="C11" s="6" t="s">
        <v>67</v>
      </c>
      <c r="D11" s="6" t="s">
        <v>68</v>
      </c>
      <c r="E11" s="6" t="s">
        <v>69</v>
      </c>
      <c r="F11" s="5">
        <v>34325</v>
      </c>
      <c r="G11" s="5">
        <v>34327.360000000001</v>
      </c>
      <c r="H11" s="6" t="s">
        <v>25</v>
      </c>
      <c r="I11" s="6" t="s">
        <v>60</v>
      </c>
      <c r="J11" s="6" t="s">
        <v>27</v>
      </c>
      <c r="K11" s="10" t="s">
        <v>70</v>
      </c>
      <c r="L11" s="11"/>
      <c r="M11" s="6" t="s">
        <v>29</v>
      </c>
      <c r="N11" s="10" t="s">
        <v>71</v>
      </c>
      <c r="O11" s="11"/>
      <c r="P11" s="5">
        <v>2</v>
      </c>
      <c r="Q11" s="6" t="s">
        <v>31</v>
      </c>
      <c r="R11" s="5">
        <v>2</v>
      </c>
      <c r="S11" s="6" t="s">
        <v>31</v>
      </c>
      <c r="T11" s="4">
        <v>0</v>
      </c>
      <c r="U11" s="6" t="s">
        <v>31</v>
      </c>
    </row>
    <row r="12" spans="1:21" ht="87" thickBot="1" x14ac:dyDescent="0.35">
      <c r="A12" s="5">
        <v>8</v>
      </c>
      <c r="B12" s="6" t="s">
        <v>66</v>
      </c>
      <c r="C12" s="6" t="s">
        <v>72</v>
      </c>
      <c r="D12" s="6" t="s">
        <v>73</v>
      </c>
      <c r="E12" s="6" t="s">
        <v>74</v>
      </c>
      <c r="F12" s="5">
        <v>38100</v>
      </c>
      <c r="G12" s="5">
        <v>38102.36</v>
      </c>
      <c r="H12" s="6" t="s">
        <v>25</v>
      </c>
      <c r="I12" s="6" t="s">
        <v>60</v>
      </c>
      <c r="J12" s="6" t="s">
        <v>27</v>
      </c>
      <c r="K12" s="10" t="s">
        <v>75</v>
      </c>
      <c r="L12" s="11"/>
      <c r="M12" s="6" t="s">
        <v>29</v>
      </c>
      <c r="N12" s="10" t="s">
        <v>71</v>
      </c>
      <c r="O12" s="11"/>
      <c r="P12" s="5">
        <v>2</v>
      </c>
      <c r="Q12" s="6" t="s">
        <v>31</v>
      </c>
      <c r="R12" s="5">
        <v>2</v>
      </c>
      <c r="S12" s="6" t="s">
        <v>31</v>
      </c>
      <c r="T12" s="4">
        <v>0</v>
      </c>
      <c r="U12" s="6" t="s">
        <v>31</v>
      </c>
    </row>
    <row r="13" spans="1:21" ht="87" thickBot="1" x14ac:dyDescent="0.35">
      <c r="A13" s="5">
        <v>1</v>
      </c>
      <c r="B13" s="6" t="s">
        <v>66</v>
      </c>
      <c r="C13" s="5" t="s">
        <v>76</v>
      </c>
      <c r="D13" s="6" t="s">
        <v>77</v>
      </c>
      <c r="E13" s="6" t="s">
        <v>78</v>
      </c>
      <c r="F13" s="5">
        <v>10350</v>
      </c>
      <c r="G13" s="5">
        <v>10352.36</v>
      </c>
      <c r="H13" s="6" t="s">
        <v>25</v>
      </c>
      <c r="I13" s="6" t="s">
        <v>79</v>
      </c>
      <c r="J13" s="6" t="s">
        <v>27</v>
      </c>
      <c r="K13" s="10" t="s">
        <v>80</v>
      </c>
      <c r="L13" s="11"/>
      <c r="M13" s="6" t="s">
        <v>29</v>
      </c>
      <c r="N13" s="10" t="s">
        <v>71</v>
      </c>
      <c r="O13" s="11"/>
      <c r="P13" s="5">
        <v>2</v>
      </c>
      <c r="Q13" s="6" t="s">
        <v>31</v>
      </c>
      <c r="R13" s="5">
        <v>2</v>
      </c>
      <c r="S13" s="6" t="s">
        <v>31</v>
      </c>
      <c r="T13" s="4">
        <v>0</v>
      </c>
      <c r="U13" s="6" t="s">
        <v>31</v>
      </c>
    </row>
    <row r="14" spans="1:21" ht="87" thickBot="1" x14ac:dyDescent="0.35">
      <c r="A14" s="5">
        <v>2</v>
      </c>
      <c r="B14" s="6" t="s">
        <v>66</v>
      </c>
      <c r="C14" s="5" t="s">
        <v>81</v>
      </c>
      <c r="D14" s="6" t="s">
        <v>82</v>
      </c>
      <c r="E14" s="8" t="s">
        <v>83</v>
      </c>
      <c r="F14" s="5">
        <v>10950</v>
      </c>
      <c r="G14" s="5">
        <v>10952.36</v>
      </c>
      <c r="H14" s="6" t="s">
        <v>25</v>
      </c>
      <c r="I14" s="6" t="s">
        <v>60</v>
      </c>
      <c r="J14" s="6" t="s">
        <v>27</v>
      </c>
      <c r="K14" s="10" t="s">
        <v>84</v>
      </c>
      <c r="L14" s="11"/>
      <c r="M14" s="6" t="s">
        <v>29</v>
      </c>
      <c r="N14" s="10" t="s">
        <v>71</v>
      </c>
      <c r="O14" s="11"/>
      <c r="P14" s="5">
        <v>2</v>
      </c>
      <c r="Q14" s="6" t="s">
        <v>31</v>
      </c>
      <c r="R14" s="5">
        <v>2</v>
      </c>
      <c r="S14" s="6" t="s">
        <v>31</v>
      </c>
      <c r="T14" s="4">
        <v>0</v>
      </c>
      <c r="U14" s="6" t="s">
        <v>31</v>
      </c>
    </row>
    <row r="15" spans="1:21" ht="87" thickBot="1" x14ac:dyDescent="0.35">
      <c r="A15" s="5">
        <v>3</v>
      </c>
      <c r="B15" s="6" t="s">
        <v>66</v>
      </c>
      <c r="C15" s="5" t="s">
        <v>85</v>
      </c>
      <c r="D15" s="6" t="s">
        <v>86</v>
      </c>
      <c r="E15" s="6" t="s">
        <v>87</v>
      </c>
      <c r="F15" s="5">
        <v>10350</v>
      </c>
      <c r="G15" s="5">
        <v>10352.36</v>
      </c>
      <c r="H15" s="6" t="s">
        <v>25</v>
      </c>
      <c r="I15" s="6" t="s">
        <v>60</v>
      </c>
      <c r="J15" s="6" t="s">
        <v>27</v>
      </c>
      <c r="K15" s="10" t="s">
        <v>88</v>
      </c>
      <c r="L15" s="11"/>
      <c r="M15" s="6" t="s">
        <v>29</v>
      </c>
      <c r="N15" s="10" t="s">
        <v>71</v>
      </c>
      <c r="O15" s="11"/>
      <c r="P15" s="5">
        <v>2</v>
      </c>
      <c r="Q15" s="6" t="s">
        <v>31</v>
      </c>
      <c r="R15" s="5">
        <v>2</v>
      </c>
      <c r="S15" s="6" t="s">
        <v>31</v>
      </c>
      <c r="T15" s="4">
        <v>0</v>
      </c>
      <c r="U15" s="6" t="s">
        <v>31</v>
      </c>
    </row>
    <row r="16" spans="1:21" ht="87" thickBot="1" x14ac:dyDescent="0.35">
      <c r="A16" s="5">
        <v>4</v>
      </c>
      <c r="B16" s="6" t="s">
        <v>66</v>
      </c>
      <c r="C16" s="5" t="s">
        <v>89</v>
      </c>
      <c r="D16" s="6" t="s">
        <v>90</v>
      </c>
      <c r="E16" s="6" t="s">
        <v>91</v>
      </c>
      <c r="F16" s="5">
        <v>10950</v>
      </c>
      <c r="G16" s="5">
        <v>10952.36</v>
      </c>
      <c r="H16" s="6" t="s">
        <v>25</v>
      </c>
      <c r="I16" s="6" t="s">
        <v>79</v>
      </c>
      <c r="J16" s="6" t="s">
        <v>27</v>
      </c>
      <c r="K16" s="10" t="s">
        <v>92</v>
      </c>
      <c r="L16" s="11"/>
      <c r="M16" s="6" t="s">
        <v>29</v>
      </c>
      <c r="N16" s="10" t="s">
        <v>71</v>
      </c>
      <c r="O16" s="11"/>
      <c r="P16" s="5">
        <v>2</v>
      </c>
      <c r="Q16" s="6" t="s">
        <v>31</v>
      </c>
      <c r="R16" s="5">
        <v>2</v>
      </c>
      <c r="S16" s="6" t="s">
        <v>31</v>
      </c>
      <c r="T16" s="4">
        <v>0</v>
      </c>
      <c r="U16" s="6" t="s">
        <v>31</v>
      </c>
    </row>
    <row r="17" spans="1:21" ht="87" thickBot="1" x14ac:dyDescent="0.35">
      <c r="A17" s="5">
        <v>5</v>
      </c>
      <c r="B17" s="6" t="s">
        <v>66</v>
      </c>
      <c r="C17" s="5" t="s">
        <v>93</v>
      </c>
      <c r="D17" s="6" t="s">
        <v>94</v>
      </c>
      <c r="E17" s="6" t="s">
        <v>95</v>
      </c>
      <c r="F17" s="5">
        <v>74150</v>
      </c>
      <c r="G17" s="5">
        <v>74152.36</v>
      </c>
      <c r="H17" s="6" t="s">
        <v>25</v>
      </c>
      <c r="I17" s="6" t="s">
        <v>60</v>
      </c>
      <c r="J17" s="6" t="s">
        <v>27</v>
      </c>
      <c r="K17" s="10" t="s">
        <v>96</v>
      </c>
      <c r="L17" s="11"/>
      <c r="M17" s="6" t="s">
        <v>29</v>
      </c>
      <c r="N17" s="10" t="s">
        <v>71</v>
      </c>
      <c r="O17" s="11"/>
      <c r="P17" s="5">
        <v>2</v>
      </c>
      <c r="Q17" s="6" t="s">
        <v>31</v>
      </c>
      <c r="R17" s="5">
        <v>2</v>
      </c>
      <c r="S17" s="6" t="s">
        <v>31</v>
      </c>
      <c r="T17" s="4">
        <v>0</v>
      </c>
      <c r="U17" s="6" t="s">
        <v>31</v>
      </c>
    </row>
    <row r="18" spans="1:21" ht="87" thickBot="1" x14ac:dyDescent="0.35">
      <c r="A18" s="5">
        <v>6</v>
      </c>
      <c r="B18" s="6" t="s">
        <v>66</v>
      </c>
      <c r="C18" s="5" t="s">
        <v>97</v>
      </c>
      <c r="D18" s="6" t="s">
        <v>98</v>
      </c>
      <c r="E18" s="6" t="s">
        <v>99</v>
      </c>
      <c r="F18" s="5">
        <v>10350</v>
      </c>
      <c r="G18" s="5">
        <v>10352.36</v>
      </c>
      <c r="H18" s="6" t="s">
        <v>25</v>
      </c>
      <c r="I18" s="6" t="s">
        <v>79</v>
      </c>
      <c r="J18" s="6" t="s">
        <v>27</v>
      </c>
      <c r="K18" s="10" t="s">
        <v>100</v>
      </c>
      <c r="L18" s="11"/>
      <c r="M18" s="6" t="s">
        <v>29</v>
      </c>
      <c r="N18" s="10" t="s">
        <v>71</v>
      </c>
      <c r="O18" s="11"/>
      <c r="P18" s="5">
        <v>2</v>
      </c>
      <c r="Q18" s="6" t="s">
        <v>31</v>
      </c>
      <c r="R18" s="5">
        <v>2</v>
      </c>
      <c r="S18" s="6" t="s">
        <v>31</v>
      </c>
      <c r="T18" s="4">
        <v>0</v>
      </c>
      <c r="U18" s="6" t="s">
        <v>31</v>
      </c>
    </row>
    <row r="19" spans="1:21" ht="87" thickBot="1" x14ac:dyDescent="0.35">
      <c r="A19" s="5">
        <v>7</v>
      </c>
      <c r="B19" s="6" t="s">
        <v>66</v>
      </c>
      <c r="C19" s="5" t="s">
        <v>101</v>
      </c>
      <c r="D19" s="6" t="s">
        <v>102</v>
      </c>
      <c r="E19" s="6" t="s">
        <v>103</v>
      </c>
      <c r="F19" s="5">
        <v>10350</v>
      </c>
      <c r="G19" s="5">
        <v>10352.36</v>
      </c>
      <c r="H19" s="6" t="s">
        <v>25</v>
      </c>
      <c r="I19" s="6" t="s">
        <v>60</v>
      </c>
      <c r="J19" s="6" t="s">
        <v>27</v>
      </c>
      <c r="K19" s="10" t="s">
        <v>104</v>
      </c>
      <c r="L19" s="11"/>
      <c r="M19" s="6" t="s">
        <v>29</v>
      </c>
      <c r="N19" s="10" t="s">
        <v>71</v>
      </c>
      <c r="O19" s="11"/>
      <c r="P19" s="5">
        <v>2</v>
      </c>
      <c r="Q19" s="6" t="s">
        <v>31</v>
      </c>
      <c r="R19" s="5">
        <v>2</v>
      </c>
      <c r="S19" s="6" t="s">
        <v>31</v>
      </c>
      <c r="T19" s="4">
        <v>0</v>
      </c>
      <c r="U19" s="6" t="s">
        <v>31</v>
      </c>
    </row>
    <row r="20" spans="1:21" ht="87" thickBot="1" x14ac:dyDescent="0.35">
      <c r="A20" s="5">
        <v>8</v>
      </c>
      <c r="B20" s="6" t="s">
        <v>66</v>
      </c>
      <c r="C20" s="5" t="s">
        <v>105</v>
      </c>
      <c r="D20" s="6" t="s">
        <v>106</v>
      </c>
      <c r="E20" s="6" t="s">
        <v>107</v>
      </c>
      <c r="F20" s="5">
        <v>34325</v>
      </c>
      <c r="G20" s="5">
        <v>34327.360000000001</v>
      </c>
      <c r="H20" s="6" t="s">
        <v>25</v>
      </c>
      <c r="I20" s="6" t="s">
        <v>79</v>
      </c>
      <c r="J20" s="6" t="s">
        <v>27</v>
      </c>
      <c r="K20" s="10" t="s">
        <v>108</v>
      </c>
      <c r="L20" s="11"/>
      <c r="M20" s="6" t="s">
        <v>29</v>
      </c>
      <c r="N20" s="10" t="s">
        <v>71</v>
      </c>
      <c r="O20" s="11"/>
      <c r="P20" s="5">
        <v>2</v>
      </c>
      <c r="Q20" s="6" t="s">
        <v>31</v>
      </c>
      <c r="R20" s="5">
        <v>2</v>
      </c>
      <c r="S20" s="6" t="s">
        <v>31</v>
      </c>
      <c r="T20" s="4">
        <v>0</v>
      </c>
      <c r="U20" s="6" t="s">
        <v>31</v>
      </c>
    </row>
    <row r="21" spans="1:21" ht="87" thickBot="1" x14ac:dyDescent="0.35">
      <c r="A21" s="5">
        <v>9</v>
      </c>
      <c r="B21" s="6" t="s">
        <v>66</v>
      </c>
      <c r="C21" s="5" t="s">
        <v>109</v>
      </c>
      <c r="D21" s="6" t="s">
        <v>110</v>
      </c>
      <c r="E21" s="6" t="s">
        <v>111</v>
      </c>
      <c r="F21" s="5">
        <v>10950</v>
      </c>
      <c r="G21" s="5">
        <v>10952.36</v>
      </c>
      <c r="H21" s="6" t="s">
        <v>25</v>
      </c>
      <c r="I21" s="6" t="s">
        <v>60</v>
      </c>
      <c r="J21" s="6" t="s">
        <v>27</v>
      </c>
      <c r="K21" s="10" t="s">
        <v>112</v>
      </c>
      <c r="L21" s="11"/>
      <c r="M21" s="6" t="s">
        <v>29</v>
      </c>
      <c r="N21" s="10" t="s">
        <v>71</v>
      </c>
      <c r="O21" s="11"/>
      <c r="P21" s="5">
        <v>2</v>
      </c>
      <c r="Q21" s="6" t="s">
        <v>31</v>
      </c>
      <c r="R21" s="5">
        <v>2</v>
      </c>
      <c r="S21" s="6" t="s">
        <v>31</v>
      </c>
      <c r="T21" s="4">
        <v>0</v>
      </c>
      <c r="U21" s="6" t="s">
        <v>31</v>
      </c>
    </row>
    <row r="22" spans="1:21" ht="87" thickBot="1" x14ac:dyDescent="0.35">
      <c r="A22" s="5">
        <v>10</v>
      </c>
      <c r="B22" s="6" t="s">
        <v>66</v>
      </c>
      <c r="C22" s="5" t="s">
        <v>113</v>
      </c>
      <c r="D22" s="6" t="s">
        <v>114</v>
      </c>
      <c r="E22" s="6" t="s">
        <v>115</v>
      </c>
      <c r="F22" s="5">
        <v>10350</v>
      </c>
      <c r="G22" s="5">
        <v>10352.36</v>
      </c>
      <c r="H22" s="6" t="s">
        <v>25</v>
      </c>
      <c r="I22" s="6" t="s">
        <v>79</v>
      </c>
      <c r="J22" s="6" t="s">
        <v>27</v>
      </c>
      <c r="K22" s="10" t="s">
        <v>116</v>
      </c>
      <c r="L22" s="11"/>
      <c r="M22" s="6" t="s">
        <v>29</v>
      </c>
      <c r="N22" s="10" t="s">
        <v>71</v>
      </c>
      <c r="O22" s="11"/>
      <c r="P22" s="5">
        <v>2</v>
      </c>
      <c r="Q22" s="6" t="s">
        <v>31</v>
      </c>
      <c r="R22" s="5">
        <v>2</v>
      </c>
      <c r="S22" s="6" t="s">
        <v>31</v>
      </c>
      <c r="T22" s="4">
        <v>0</v>
      </c>
      <c r="U22" s="6" t="s">
        <v>31</v>
      </c>
    </row>
    <row r="23" spans="1:21" ht="87" thickBot="1" x14ac:dyDescent="0.35">
      <c r="A23" s="5">
        <v>12</v>
      </c>
      <c r="B23" s="6" t="s">
        <v>66</v>
      </c>
      <c r="C23" s="5" t="s">
        <v>117</v>
      </c>
      <c r="D23" s="6" t="s">
        <v>118</v>
      </c>
      <c r="E23" s="6" t="s">
        <v>119</v>
      </c>
      <c r="F23" s="5">
        <v>34325</v>
      </c>
      <c r="G23" s="5">
        <v>34327.360000000001</v>
      </c>
      <c r="H23" s="6" t="s">
        <v>25</v>
      </c>
      <c r="I23" s="6" t="s">
        <v>79</v>
      </c>
      <c r="J23" s="6" t="s">
        <v>27</v>
      </c>
      <c r="K23" s="10" t="s">
        <v>120</v>
      </c>
      <c r="L23" s="11"/>
      <c r="M23" s="6" t="s">
        <v>29</v>
      </c>
      <c r="N23" s="10" t="s">
        <v>71</v>
      </c>
      <c r="O23" s="11"/>
      <c r="P23" s="5">
        <v>2</v>
      </c>
      <c r="Q23" s="6" t="s">
        <v>31</v>
      </c>
      <c r="R23" s="5">
        <v>2</v>
      </c>
      <c r="S23" s="6" t="s">
        <v>31</v>
      </c>
      <c r="T23" s="4">
        <v>0</v>
      </c>
      <c r="U23" s="6" t="s">
        <v>31</v>
      </c>
    </row>
    <row r="24" spans="1:21" ht="87" thickBot="1" x14ac:dyDescent="0.35">
      <c r="A24" s="5">
        <v>13</v>
      </c>
      <c r="B24" s="6" t="s">
        <v>66</v>
      </c>
      <c r="C24" s="5" t="s">
        <v>121</v>
      </c>
      <c r="D24" s="6" t="s">
        <v>122</v>
      </c>
      <c r="E24" s="6" t="s">
        <v>123</v>
      </c>
      <c r="F24" s="5">
        <v>10950</v>
      </c>
      <c r="G24" s="5">
        <v>10952.36</v>
      </c>
      <c r="H24" s="6" t="s">
        <v>25</v>
      </c>
      <c r="I24" s="6" t="s">
        <v>79</v>
      </c>
      <c r="J24" s="6" t="s">
        <v>27</v>
      </c>
      <c r="K24" s="10" t="s">
        <v>124</v>
      </c>
      <c r="L24" s="11"/>
      <c r="M24" s="6" t="s">
        <v>29</v>
      </c>
      <c r="N24" s="10" t="s">
        <v>71</v>
      </c>
      <c r="O24" s="11"/>
      <c r="P24" s="5">
        <v>2</v>
      </c>
      <c r="Q24" s="6" t="s">
        <v>31</v>
      </c>
      <c r="R24" s="5">
        <v>2</v>
      </c>
      <c r="S24" s="6" t="s">
        <v>31</v>
      </c>
      <c r="T24" s="4">
        <v>0</v>
      </c>
      <c r="U24" s="6" t="s">
        <v>31</v>
      </c>
    </row>
    <row r="25" spans="1:21" ht="87" thickBot="1" x14ac:dyDescent="0.35">
      <c r="A25" s="5">
        <v>14</v>
      </c>
      <c r="B25" s="6" t="s">
        <v>66</v>
      </c>
      <c r="C25" s="5" t="s">
        <v>125</v>
      </c>
      <c r="D25" s="6" t="s">
        <v>126</v>
      </c>
      <c r="E25" s="6" t="s">
        <v>127</v>
      </c>
      <c r="F25" s="5">
        <v>34325</v>
      </c>
      <c r="G25" s="5">
        <v>34327.360000000001</v>
      </c>
      <c r="H25" s="6" t="s">
        <v>25</v>
      </c>
      <c r="I25" s="6" t="s">
        <v>60</v>
      </c>
      <c r="J25" s="6" t="s">
        <v>27</v>
      </c>
      <c r="K25" s="10" t="s">
        <v>128</v>
      </c>
      <c r="L25" s="11"/>
      <c r="M25" s="6" t="s">
        <v>29</v>
      </c>
      <c r="N25" s="10" t="s">
        <v>71</v>
      </c>
      <c r="O25" s="11"/>
      <c r="P25" s="5">
        <v>2</v>
      </c>
      <c r="Q25" s="6" t="s">
        <v>31</v>
      </c>
      <c r="R25" s="5">
        <v>2</v>
      </c>
      <c r="S25" s="6" t="s">
        <v>31</v>
      </c>
      <c r="T25" s="4">
        <v>0</v>
      </c>
      <c r="U25" s="6" t="s">
        <v>31</v>
      </c>
    </row>
    <row r="26" spans="1:21" ht="87" thickBot="1" x14ac:dyDescent="0.35">
      <c r="A26" s="5">
        <v>15</v>
      </c>
      <c r="B26" s="6" t="s">
        <v>66</v>
      </c>
      <c r="C26" s="5" t="s">
        <v>129</v>
      </c>
      <c r="D26" s="6" t="s">
        <v>130</v>
      </c>
      <c r="E26" s="6" t="s">
        <v>131</v>
      </c>
      <c r="F26" s="5">
        <v>34325</v>
      </c>
      <c r="G26" s="5">
        <v>34327.360000000001</v>
      </c>
      <c r="H26" s="6" t="s">
        <v>25</v>
      </c>
      <c r="I26" s="6" t="s">
        <v>79</v>
      </c>
      <c r="J26" s="6" t="s">
        <v>27</v>
      </c>
      <c r="K26" s="10" t="s">
        <v>70</v>
      </c>
      <c r="L26" s="11"/>
      <c r="M26" s="6" t="s">
        <v>29</v>
      </c>
      <c r="N26" s="10" t="s">
        <v>71</v>
      </c>
      <c r="O26" s="11"/>
      <c r="P26" s="5">
        <v>2</v>
      </c>
      <c r="Q26" s="6" t="s">
        <v>31</v>
      </c>
      <c r="R26" s="5">
        <v>2</v>
      </c>
      <c r="S26" s="6" t="s">
        <v>31</v>
      </c>
      <c r="T26" s="4">
        <v>0</v>
      </c>
      <c r="U26" s="6" t="s">
        <v>31</v>
      </c>
    </row>
    <row r="27" spans="1:21" ht="87" thickBot="1" x14ac:dyDescent="0.35">
      <c r="A27" s="5">
        <v>18</v>
      </c>
      <c r="B27" s="6" t="s">
        <v>66</v>
      </c>
      <c r="C27" s="6" t="s">
        <v>132</v>
      </c>
      <c r="D27" s="6" t="s">
        <v>133</v>
      </c>
      <c r="E27" s="6" t="s">
        <v>134</v>
      </c>
      <c r="F27" s="5">
        <v>10350</v>
      </c>
      <c r="G27" s="5">
        <v>10352.36</v>
      </c>
      <c r="H27" s="6" t="s">
        <v>25</v>
      </c>
      <c r="I27" s="6" t="s">
        <v>60</v>
      </c>
      <c r="J27" s="6" t="s">
        <v>135</v>
      </c>
      <c r="K27" s="10" t="s">
        <v>136</v>
      </c>
      <c r="L27" s="11"/>
      <c r="M27" s="6" t="s">
        <v>29</v>
      </c>
      <c r="N27" s="10" t="s">
        <v>71</v>
      </c>
      <c r="O27" s="11"/>
      <c r="P27" s="5">
        <v>2</v>
      </c>
      <c r="Q27" s="6" t="s">
        <v>31</v>
      </c>
      <c r="R27" s="5">
        <v>2</v>
      </c>
      <c r="S27" s="6" t="s">
        <v>31</v>
      </c>
      <c r="T27" s="4">
        <v>0</v>
      </c>
      <c r="U27" s="6" t="s">
        <v>31</v>
      </c>
    </row>
    <row r="28" spans="1:21" ht="87" thickBot="1" x14ac:dyDescent="0.35">
      <c r="A28" s="5">
        <v>19</v>
      </c>
      <c r="B28" s="6" t="s">
        <v>66</v>
      </c>
      <c r="C28" s="6" t="s">
        <v>137</v>
      </c>
      <c r="D28" s="6" t="s">
        <v>138</v>
      </c>
      <c r="E28" s="6" t="s">
        <v>139</v>
      </c>
      <c r="F28" s="5">
        <v>34325</v>
      </c>
      <c r="G28" s="5">
        <v>34327.360000000001</v>
      </c>
      <c r="H28" s="6" t="s">
        <v>25</v>
      </c>
      <c r="I28" s="6" t="s">
        <v>60</v>
      </c>
      <c r="J28" s="6" t="s">
        <v>135</v>
      </c>
      <c r="K28" s="10" t="s">
        <v>140</v>
      </c>
      <c r="L28" s="11"/>
      <c r="M28" s="6" t="s">
        <v>29</v>
      </c>
      <c r="N28" s="10" t="s">
        <v>71</v>
      </c>
      <c r="O28" s="11"/>
      <c r="P28" s="5">
        <v>2</v>
      </c>
      <c r="Q28" s="6" t="s">
        <v>31</v>
      </c>
      <c r="R28" s="5">
        <v>2</v>
      </c>
      <c r="S28" s="6" t="s">
        <v>31</v>
      </c>
      <c r="T28" s="4">
        <v>0</v>
      </c>
      <c r="U28" s="6" t="s">
        <v>31</v>
      </c>
    </row>
    <row r="29" spans="1:21" ht="87" thickBot="1" x14ac:dyDescent="0.35">
      <c r="A29" s="5">
        <v>20</v>
      </c>
      <c r="B29" s="6" t="s">
        <v>66</v>
      </c>
      <c r="C29" s="6" t="s">
        <v>141</v>
      </c>
      <c r="D29" s="6" t="s">
        <v>142</v>
      </c>
      <c r="E29" s="6" t="s">
        <v>143</v>
      </c>
      <c r="F29" s="5">
        <v>10950</v>
      </c>
      <c r="G29" s="5">
        <v>10952.36</v>
      </c>
      <c r="H29" s="6" t="s">
        <v>25</v>
      </c>
      <c r="I29" s="6" t="s">
        <v>60</v>
      </c>
      <c r="J29" s="6" t="s">
        <v>135</v>
      </c>
      <c r="K29" s="10" t="s">
        <v>144</v>
      </c>
      <c r="L29" s="11"/>
      <c r="M29" s="6" t="s">
        <v>29</v>
      </c>
      <c r="N29" s="10" t="s">
        <v>71</v>
      </c>
      <c r="O29" s="11"/>
      <c r="P29" s="5">
        <v>2</v>
      </c>
      <c r="Q29" s="6" t="s">
        <v>31</v>
      </c>
      <c r="R29" s="5">
        <v>2</v>
      </c>
      <c r="S29" s="6" t="s">
        <v>31</v>
      </c>
      <c r="T29" s="4">
        <v>0</v>
      </c>
      <c r="U29" s="6" t="s">
        <v>31</v>
      </c>
    </row>
    <row r="30" spans="1:21" ht="87" thickBot="1" x14ac:dyDescent="0.35">
      <c r="A30" s="5">
        <v>21</v>
      </c>
      <c r="B30" s="6" t="s">
        <v>66</v>
      </c>
      <c r="C30" s="6" t="s">
        <v>145</v>
      </c>
      <c r="D30" s="6" t="s">
        <v>146</v>
      </c>
      <c r="E30" s="6" t="s">
        <v>147</v>
      </c>
      <c r="F30" s="5">
        <v>34325</v>
      </c>
      <c r="G30" s="5">
        <v>34327.360000000001</v>
      </c>
      <c r="H30" s="6" t="s">
        <v>25</v>
      </c>
      <c r="I30" s="6" t="s">
        <v>60</v>
      </c>
      <c r="J30" s="6" t="s">
        <v>135</v>
      </c>
      <c r="K30" s="10" t="s">
        <v>148</v>
      </c>
      <c r="L30" s="11"/>
      <c r="M30" s="6" t="s">
        <v>29</v>
      </c>
      <c r="N30" s="10" t="s">
        <v>71</v>
      </c>
      <c r="O30" s="11"/>
      <c r="P30" s="5">
        <v>2</v>
      </c>
      <c r="Q30" s="6" t="s">
        <v>31</v>
      </c>
      <c r="R30" s="5">
        <v>2</v>
      </c>
      <c r="S30" s="6" t="s">
        <v>31</v>
      </c>
      <c r="T30" s="4">
        <v>0</v>
      </c>
      <c r="U30" s="6" t="s">
        <v>31</v>
      </c>
    </row>
    <row r="31" spans="1:21" ht="87" thickBot="1" x14ac:dyDescent="0.35">
      <c r="A31" s="5">
        <v>22</v>
      </c>
      <c r="B31" s="6" t="s">
        <v>66</v>
      </c>
      <c r="C31" s="6" t="s">
        <v>149</v>
      </c>
      <c r="D31" s="6" t="s">
        <v>150</v>
      </c>
      <c r="E31" s="6" t="s">
        <v>151</v>
      </c>
      <c r="F31" s="5">
        <v>72450</v>
      </c>
      <c r="G31" s="5">
        <v>72452.36</v>
      </c>
      <c r="H31" s="6" t="s">
        <v>25</v>
      </c>
      <c r="I31" s="6" t="s">
        <v>60</v>
      </c>
      <c r="J31" s="6" t="s">
        <v>135</v>
      </c>
      <c r="K31" s="10" t="s">
        <v>152</v>
      </c>
      <c r="L31" s="11"/>
      <c r="M31" s="6" t="s">
        <v>29</v>
      </c>
      <c r="N31" s="10" t="s">
        <v>71</v>
      </c>
      <c r="O31" s="11"/>
      <c r="P31" s="5">
        <v>2</v>
      </c>
      <c r="Q31" s="6" t="s">
        <v>31</v>
      </c>
      <c r="R31" s="5">
        <v>2</v>
      </c>
      <c r="S31" s="6" t="s">
        <v>31</v>
      </c>
      <c r="T31" s="4">
        <v>0</v>
      </c>
      <c r="U31" s="6" t="s">
        <v>31</v>
      </c>
    </row>
    <row r="32" spans="1:21" ht="87" thickBot="1" x14ac:dyDescent="0.35">
      <c r="A32" s="5">
        <v>23</v>
      </c>
      <c r="B32" s="6" t="s">
        <v>66</v>
      </c>
      <c r="C32" s="6" t="s">
        <v>153</v>
      </c>
      <c r="D32" s="6" t="s">
        <v>154</v>
      </c>
      <c r="E32" s="6" t="s">
        <v>155</v>
      </c>
      <c r="F32" s="5">
        <v>74150</v>
      </c>
      <c r="G32" s="5">
        <v>74152.36</v>
      </c>
      <c r="H32" s="6" t="s">
        <v>25</v>
      </c>
      <c r="I32" s="6" t="s">
        <v>60</v>
      </c>
      <c r="J32" s="6" t="s">
        <v>135</v>
      </c>
      <c r="K32" s="10" t="s">
        <v>156</v>
      </c>
      <c r="L32" s="11"/>
      <c r="M32" s="6" t="s">
        <v>29</v>
      </c>
      <c r="N32" s="10" t="s">
        <v>71</v>
      </c>
      <c r="O32" s="11"/>
      <c r="P32" s="5">
        <v>2</v>
      </c>
      <c r="Q32" s="6" t="s">
        <v>31</v>
      </c>
      <c r="R32" s="5">
        <v>2</v>
      </c>
      <c r="S32" s="6" t="s">
        <v>31</v>
      </c>
      <c r="T32" s="4">
        <v>0</v>
      </c>
      <c r="U32" s="6" t="s">
        <v>31</v>
      </c>
    </row>
    <row r="33" spans="1:21" ht="87" thickBot="1" x14ac:dyDescent="0.35">
      <c r="A33" s="5">
        <v>24</v>
      </c>
      <c r="B33" s="6" t="s">
        <v>66</v>
      </c>
      <c r="C33" s="6" t="s">
        <v>157</v>
      </c>
      <c r="D33" s="6" t="s">
        <v>158</v>
      </c>
      <c r="E33" s="8" t="s">
        <v>159</v>
      </c>
      <c r="F33" s="5">
        <v>36100</v>
      </c>
      <c r="G33" s="5">
        <v>36102.36</v>
      </c>
      <c r="H33" s="6" t="s">
        <v>25</v>
      </c>
      <c r="I33" s="6" t="s">
        <v>60</v>
      </c>
      <c r="J33" s="6" t="s">
        <v>135</v>
      </c>
      <c r="K33" s="10" t="s">
        <v>160</v>
      </c>
      <c r="L33" s="11"/>
      <c r="M33" s="6" t="s">
        <v>29</v>
      </c>
      <c r="N33" s="10" t="s">
        <v>71</v>
      </c>
      <c r="O33" s="11"/>
      <c r="P33" s="5">
        <v>2</v>
      </c>
      <c r="Q33" s="6" t="s">
        <v>31</v>
      </c>
      <c r="R33" s="5">
        <v>2</v>
      </c>
      <c r="S33" s="6" t="s">
        <v>31</v>
      </c>
      <c r="T33" s="4">
        <v>0</v>
      </c>
      <c r="U33" s="6" t="s">
        <v>31</v>
      </c>
    </row>
    <row r="34" spans="1:21" ht="87" thickBot="1" x14ac:dyDescent="0.35">
      <c r="A34" s="5">
        <v>25</v>
      </c>
      <c r="B34" s="6" t="s">
        <v>66</v>
      </c>
      <c r="C34" s="5" t="s">
        <v>161</v>
      </c>
      <c r="D34" s="6" t="s">
        <v>162</v>
      </c>
      <c r="E34" s="6" t="s">
        <v>163</v>
      </c>
      <c r="F34" s="5">
        <v>72150</v>
      </c>
      <c r="G34" s="5">
        <v>72152.36</v>
      </c>
      <c r="H34" s="6" t="s">
        <v>25</v>
      </c>
      <c r="I34" s="6" t="s">
        <v>60</v>
      </c>
      <c r="J34" s="6" t="s">
        <v>135</v>
      </c>
      <c r="K34" s="10" t="s">
        <v>164</v>
      </c>
      <c r="L34" s="11"/>
      <c r="M34" s="6" t="s">
        <v>29</v>
      </c>
      <c r="N34" s="10" t="s">
        <v>71</v>
      </c>
      <c r="O34" s="11"/>
      <c r="P34" s="5">
        <v>2</v>
      </c>
      <c r="Q34" s="6" t="s">
        <v>31</v>
      </c>
      <c r="R34" s="5">
        <v>2</v>
      </c>
      <c r="S34" s="6" t="s">
        <v>31</v>
      </c>
      <c r="T34" s="4">
        <v>0</v>
      </c>
      <c r="U34" s="6" t="s">
        <v>31</v>
      </c>
    </row>
    <row r="35" spans="1:21" ht="87" thickBot="1" x14ac:dyDescent="0.35">
      <c r="A35" s="5">
        <v>27</v>
      </c>
      <c r="B35" s="6" t="s">
        <v>66</v>
      </c>
      <c r="C35" s="6" t="s">
        <v>165</v>
      </c>
      <c r="D35" s="6" t="s">
        <v>166</v>
      </c>
      <c r="E35" s="8" t="s">
        <v>167</v>
      </c>
      <c r="F35" s="5">
        <v>10950</v>
      </c>
      <c r="G35" s="5">
        <v>10952.36</v>
      </c>
      <c r="H35" s="6" t="s">
        <v>25</v>
      </c>
      <c r="I35" s="6" t="s">
        <v>60</v>
      </c>
      <c r="J35" s="6" t="s">
        <v>135</v>
      </c>
      <c r="K35" s="10" t="s">
        <v>168</v>
      </c>
      <c r="L35" s="11"/>
      <c r="M35" s="6" t="s">
        <v>29</v>
      </c>
      <c r="N35" s="10" t="s">
        <v>71</v>
      </c>
      <c r="O35" s="11"/>
      <c r="P35" s="5">
        <v>2</v>
      </c>
      <c r="Q35" s="6" t="s">
        <v>31</v>
      </c>
      <c r="R35" s="5">
        <v>2</v>
      </c>
      <c r="S35" s="6" t="s">
        <v>31</v>
      </c>
      <c r="T35" s="4">
        <v>0</v>
      </c>
      <c r="U35" s="6" t="s">
        <v>31</v>
      </c>
    </row>
    <row r="36" spans="1:21" ht="87" thickBot="1" x14ac:dyDescent="0.35">
      <c r="A36" s="5">
        <v>28</v>
      </c>
      <c r="B36" s="6" t="s">
        <v>66</v>
      </c>
      <c r="C36" s="6" t="s">
        <v>169</v>
      </c>
      <c r="D36" s="6" t="s">
        <v>170</v>
      </c>
      <c r="E36" s="6" t="s">
        <v>171</v>
      </c>
      <c r="F36" s="5">
        <v>10350</v>
      </c>
      <c r="G36" s="5">
        <v>10352.36</v>
      </c>
      <c r="H36" s="6" t="s">
        <v>25</v>
      </c>
      <c r="I36" s="6" t="s">
        <v>60</v>
      </c>
      <c r="J36" s="6" t="s">
        <v>135</v>
      </c>
      <c r="K36" s="10" t="s">
        <v>172</v>
      </c>
      <c r="L36" s="11"/>
      <c r="M36" s="6" t="s">
        <v>29</v>
      </c>
      <c r="N36" s="10" t="s">
        <v>71</v>
      </c>
      <c r="O36" s="11"/>
      <c r="P36" s="5">
        <v>2</v>
      </c>
      <c r="Q36" s="6" t="s">
        <v>31</v>
      </c>
      <c r="R36" s="5">
        <v>2</v>
      </c>
      <c r="S36" s="6" t="s">
        <v>31</v>
      </c>
      <c r="T36" s="4">
        <v>0</v>
      </c>
      <c r="U36" s="6" t="s">
        <v>31</v>
      </c>
    </row>
    <row r="37" spans="1:21" ht="87" thickBot="1" x14ac:dyDescent="0.35">
      <c r="A37" s="5">
        <v>29</v>
      </c>
      <c r="B37" s="6" t="s">
        <v>66</v>
      </c>
      <c r="C37" s="6" t="s">
        <v>173</v>
      </c>
      <c r="D37" s="6" t="s">
        <v>174</v>
      </c>
      <c r="E37" s="6" t="s">
        <v>175</v>
      </c>
      <c r="F37" s="5">
        <v>34325</v>
      </c>
      <c r="G37" s="5">
        <v>34327.360000000001</v>
      </c>
      <c r="H37" s="6" t="s">
        <v>25</v>
      </c>
      <c r="I37" s="6" t="s">
        <v>60</v>
      </c>
      <c r="J37" s="6" t="s">
        <v>135</v>
      </c>
      <c r="K37" s="10" t="s">
        <v>176</v>
      </c>
      <c r="L37" s="11"/>
      <c r="M37" s="6" t="s">
        <v>29</v>
      </c>
      <c r="N37" s="10" t="s">
        <v>71</v>
      </c>
      <c r="O37" s="11"/>
      <c r="P37" s="5">
        <v>2</v>
      </c>
      <c r="Q37" s="6" t="s">
        <v>31</v>
      </c>
      <c r="R37" s="5">
        <v>2</v>
      </c>
      <c r="S37" s="6" t="s">
        <v>31</v>
      </c>
      <c r="T37" s="4">
        <v>0</v>
      </c>
      <c r="U37" s="6" t="s">
        <v>31</v>
      </c>
    </row>
    <row r="38" spans="1:21" ht="87" thickBot="1" x14ac:dyDescent="0.35">
      <c r="A38" s="5">
        <v>30</v>
      </c>
      <c r="B38" s="6" t="s">
        <v>66</v>
      </c>
      <c r="C38" s="6" t="s">
        <v>177</v>
      </c>
      <c r="D38" s="6" t="s">
        <v>178</v>
      </c>
      <c r="E38" s="6" t="s">
        <v>179</v>
      </c>
      <c r="F38" s="5">
        <v>34325</v>
      </c>
      <c r="G38" s="5">
        <v>34327.360000000001</v>
      </c>
      <c r="H38" s="6" t="s">
        <v>25</v>
      </c>
      <c r="I38" s="6" t="s">
        <v>60</v>
      </c>
      <c r="J38" s="6" t="s">
        <v>135</v>
      </c>
      <c r="K38" s="10" t="s">
        <v>180</v>
      </c>
      <c r="L38" s="11"/>
      <c r="M38" s="6" t="s">
        <v>29</v>
      </c>
      <c r="N38" s="10" t="s">
        <v>71</v>
      </c>
      <c r="O38" s="11"/>
      <c r="P38" s="5">
        <v>2</v>
      </c>
      <c r="Q38" s="6" t="s">
        <v>31</v>
      </c>
      <c r="R38" s="5">
        <v>2</v>
      </c>
      <c r="S38" s="6" t="s">
        <v>31</v>
      </c>
      <c r="T38" s="4">
        <v>0</v>
      </c>
      <c r="U38" s="6" t="s">
        <v>31</v>
      </c>
    </row>
  </sheetData>
  <mergeCells count="60">
    <mergeCell ref="K9:L9"/>
    <mergeCell ref="N9:O9"/>
    <mergeCell ref="K10:L10"/>
    <mergeCell ref="N10:O10"/>
    <mergeCell ref="K11:L11"/>
    <mergeCell ref="N11:O11"/>
    <mergeCell ref="K12:L12"/>
    <mergeCell ref="N12:O12"/>
    <mergeCell ref="K13:L13"/>
    <mergeCell ref="N13:O13"/>
    <mergeCell ref="K14:L14"/>
    <mergeCell ref="N14:O14"/>
    <mergeCell ref="K15:L15"/>
    <mergeCell ref="N15:O15"/>
    <mergeCell ref="K16:L16"/>
    <mergeCell ref="N16:O16"/>
    <mergeCell ref="K17:L17"/>
    <mergeCell ref="N17:O17"/>
    <mergeCell ref="K18:L18"/>
    <mergeCell ref="N18:O18"/>
    <mergeCell ref="K19:L19"/>
    <mergeCell ref="N19:O19"/>
    <mergeCell ref="K20:L20"/>
    <mergeCell ref="N20:O20"/>
    <mergeCell ref="K21:L21"/>
    <mergeCell ref="N21:O21"/>
    <mergeCell ref="K22:L22"/>
    <mergeCell ref="N22:O22"/>
    <mergeCell ref="K23:L23"/>
    <mergeCell ref="N23:O23"/>
    <mergeCell ref="K24:L24"/>
    <mergeCell ref="N24:O24"/>
    <mergeCell ref="K25:L25"/>
    <mergeCell ref="N25:O25"/>
    <mergeCell ref="K26:L26"/>
    <mergeCell ref="N26:O26"/>
    <mergeCell ref="K27:L27"/>
    <mergeCell ref="N27:O27"/>
    <mergeCell ref="K28:L28"/>
    <mergeCell ref="N28:O28"/>
    <mergeCell ref="K29:L29"/>
    <mergeCell ref="N29:O29"/>
    <mergeCell ref="K30:L30"/>
    <mergeCell ref="N30:O30"/>
    <mergeCell ref="K31:L31"/>
    <mergeCell ref="N31:O31"/>
    <mergeCell ref="K32:L32"/>
    <mergeCell ref="N32:O32"/>
    <mergeCell ref="K33:L33"/>
    <mergeCell ref="N33:O33"/>
    <mergeCell ref="K34:L34"/>
    <mergeCell ref="N34:O34"/>
    <mergeCell ref="K35:L35"/>
    <mergeCell ref="N35:O35"/>
    <mergeCell ref="K36:L36"/>
    <mergeCell ref="N36:O36"/>
    <mergeCell ref="K37:L37"/>
    <mergeCell ref="N37:O37"/>
    <mergeCell ref="K38:L38"/>
    <mergeCell ref="N38:O38"/>
  </mergeCells>
  <hyperlinks>
    <hyperlink ref="A1" r:id="rId1" display="http://sr.no/" xr:uid="{B4EEB2BD-77BF-4FBD-8908-C26B39896C3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AA3BB-C8DB-4275-84F4-B7B55A498334}">
  <dimension ref="A1:AC62"/>
  <sheetViews>
    <sheetView topLeftCell="O1" zoomScale="90" workbookViewId="0">
      <selection activeCell="X1" sqref="X1:X1048576"/>
    </sheetView>
  </sheetViews>
  <sheetFormatPr defaultRowHeight="13.2" x14ac:dyDescent="0.25"/>
  <cols>
    <col min="1" max="1" width="9" customWidth="1"/>
    <col min="2" max="2" width="15.5546875" customWidth="1"/>
    <col min="3" max="3" width="31.6640625" customWidth="1"/>
    <col min="4" max="4" width="12.6640625" customWidth="1"/>
    <col min="5" max="5" width="37.44140625" customWidth="1"/>
    <col min="6" max="6" width="21.44140625" customWidth="1"/>
    <col min="7" max="7" width="18.33203125" customWidth="1"/>
    <col min="8" max="8" width="15.5546875" customWidth="1"/>
    <col min="9" max="9" width="17.88671875" customWidth="1"/>
    <col min="10" max="10" width="16.21875" customWidth="1"/>
    <col min="11" max="11" width="14.21875" customWidth="1"/>
    <col min="12" max="12" width="13.88671875" customWidth="1"/>
    <col min="13" max="13" width="17.33203125" customWidth="1"/>
    <col min="14" max="14" width="18.21875" customWidth="1"/>
    <col min="15" max="15" width="13.6640625" customWidth="1"/>
    <col min="16" max="16" width="24.109375" customWidth="1"/>
    <col min="17" max="17" width="23.109375" customWidth="1"/>
    <col min="18" max="18" width="16.77734375" customWidth="1"/>
    <col min="19" max="19" width="30.109375" customWidth="1"/>
    <col min="20" max="20" width="17.33203125" customWidth="1"/>
    <col min="21" max="21" width="26.21875" customWidth="1"/>
    <col min="22" max="22" width="23.5546875" customWidth="1"/>
    <col min="23" max="23" width="21.5546875" customWidth="1"/>
    <col min="24" max="24" width="25.77734375" customWidth="1"/>
  </cols>
  <sheetData>
    <row r="1" spans="1:29" x14ac:dyDescent="0.25">
      <c r="A1" t="str">
        <f>Raw_Data!A1</f>
        <v>Sr.No</v>
      </c>
      <c r="B1" t="str">
        <f>Raw_Data!B1</f>
        <v>Institute Name</v>
      </c>
      <c r="C1" t="str">
        <f>Raw_Data!C1</f>
        <v>Date &amp; Time</v>
      </c>
      <c r="D1" t="str">
        <f>Raw_Data!D1</f>
        <v>Order ID</v>
      </c>
      <c r="E1" t="str">
        <f>Raw_Data!E1</f>
        <v>Edviron order ID</v>
      </c>
      <c r="F1" t="s">
        <v>182</v>
      </c>
      <c r="G1" t="s">
        <v>181</v>
      </c>
      <c r="H1" t="str">
        <f>Raw_Data!H1</f>
        <v>Payment Method</v>
      </c>
      <c r="I1" t="str">
        <f>Raw_Data!I1</f>
        <v>payment_mode</v>
      </c>
      <c r="J1" t="str">
        <f>Raw_Data!J1</f>
        <v>Status</v>
      </c>
      <c r="K1" t="str">
        <f>Raw_Data!K1</f>
        <v>Student Name</v>
      </c>
      <c r="L1" t="str">
        <f>Raw_Data!L1</f>
        <v>Phone No.</v>
      </c>
      <c r="M1" t="str">
        <f>Raw_Data!M1</f>
        <v>Vendor Amount</v>
      </c>
      <c r="N1" t="str">
        <f>Raw_Data!N1</f>
        <v>Gateway</v>
      </c>
      <c r="O1" t="str">
        <f>Raw_Data!O1</f>
        <v>Capture Status</v>
      </c>
      <c r="P1" t="s">
        <v>15</v>
      </c>
      <c r="Q1" t="str">
        <f>Raw_Data!Q1</f>
        <v>Merchant Pricing Type</v>
      </c>
      <c r="R1" t="s">
        <v>17</v>
      </c>
      <c r="S1" t="str">
        <f>Raw_Data!S1</f>
        <v>Partner Pricing Type</v>
      </c>
      <c r="T1" t="s">
        <v>19</v>
      </c>
      <c r="U1" t="str">
        <f>Raw_Data!U1</f>
        <v>Edviron Buying type</v>
      </c>
      <c r="Y1">
        <v>0</v>
      </c>
      <c r="Z1">
        <f>Raw_Data!Z1</f>
        <v>0</v>
      </c>
      <c r="AA1">
        <f>Raw_Data!AA1</f>
        <v>0</v>
      </c>
      <c r="AB1">
        <f>Raw_Data!AB1</f>
        <v>0</v>
      </c>
      <c r="AC1">
        <f>Raw_Data!AC1</f>
        <v>0</v>
      </c>
    </row>
    <row r="2" spans="1:29" x14ac:dyDescent="0.25">
      <c r="A2" t="str">
        <f>TRIM(Raw_Data!A2)</f>
        <v>1</v>
      </c>
      <c r="B2" t="str">
        <f>TRIM(Raw_Data!B2)</f>
        <v>SBNM College of Pharmacy (D. Pharmacy &amp; B.Pharmarcy</v>
      </c>
      <c r="C2" t="str">
        <f>TRIM(Raw_Data!C2)</f>
        <v>1/4/2025, 12:31:47 PM</v>
      </c>
      <c r="D2" t="str">
        <f>TRIM(Raw_Data!D2)</f>
        <v>EDVI0000002711</v>
      </c>
      <c r="E2" t="str">
        <f>TRIM(Raw_Data!E2)</f>
        <v>67eb8f5ba0b8c5db0650bf9c</v>
      </c>
      <c r="F2">
        <v>3800</v>
      </c>
      <c r="G2">
        <v>3802.36</v>
      </c>
      <c r="H2" t="str">
        <f>TRIM(Raw_Data!H2)</f>
        <v>upi</v>
      </c>
      <c r="I2" t="str">
        <f>TRIM(Raw_Data!I2)</f>
        <v>UPI</v>
      </c>
      <c r="J2" t="str">
        <f>TRIM(Raw_Data!J2)</f>
        <v>SUCCESS</v>
      </c>
      <c r="K2" t="str">
        <f>TRIM(Raw_Data!K2)</f>
        <v>RushikeshPatil</v>
      </c>
      <c r="L2" t="str">
        <f>TRIM(Raw_Data!L2)</f>
        <v/>
      </c>
      <c r="M2" t="str">
        <f>TRIM(Raw_Data!M2)</f>
        <v>NA</v>
      </c>
      <c r="N2" t="str">
        <f>TRIM(Raw_Data!N2)</f>
        <v>CASHFREE</v>
      </c>
      <c r="O2" t="str">
        <f>TRIM(Raw_Data!O2)</f>
        <v/>
      </c>
      <c r="P2">
        <v>2</v>
      </c>
      <c r="Q2" t="str">
        <f>TRIM(Raw_Data!Q2)</f>
        <v>FLAT</v>
      </c>
      <c r="R2">
        <v>2</v>
      </c>
      <c r="S2" t="str">
        <f>TRIM(Raw_Data!S2)</f>
        <v>FLAT</v>
      </c>
      <c r="T2">
        <v>0</v>
      </c>
      <c r="U2" t="str">
        <f>TRIM(Raw_Data!U2)</f>
        <v>FLAT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25">
      <c r="A3" t="str">
        <f>TRIM(Raw_Data!A3)</f>
        <v>2</v>
      </c>
      <c r="B3" t="str">
        <f>TRIM(Raw_Data!B3)</f>
        <v>R P College of Pharmacy</v>
      </c>
      <c r="C3" t="str">
        <f>TRIM(Raw_Data!C3)</f>
        <v>11/4/2025, 11:51:49 AM</v>
      </c>
      <c r="D3" t="str">
        <f>TRIM(Raw_Data!D3)</f>
        <v>EDVI0000002716</v>
      </c>
      <c r="E3" t="str">
        <f>TRIM(Raw_Data!E3)</f>
        <v>67f8b4fdb7b5f003daf0968e</v>
      </c>
      <c r="F3">
        <v>15000</v>
      </c>
      <c r="G3">
        <v>15002.36</v>
      </c>
      <c r="H3" t="str">
        <f>TRIM(Raw_Data!H3)</f>
        <v>upi</v>
      </c>
      <c r="I3" t="str">
        <f>TRIM(Raw_Data!I3)</f>
        <v>UPI</v>
      </c>
      <c r="J3" t="str">
        <f>TRIM(Raw_Data!J3)</f>
        <v>SUCCESS</v>
      </c>
      <c r="K3" t="str">
        <f>TRIM(Raw_Data!K3)</f>
        <v>Pranav Prakash Deshpande</v>
      </c>
      <c r="L3" t="str">
        <f>TRIM(Raw_Data!L3)</f>
        <v/>
      </c>
      <c r="M3" t="str">
        <f>TRIM(Raw_Data!M3)</f>
        <v>NA</v>
      </c>
      <c r="N3" t="str">
        <f>TRIM(Raw_Data!N3)</f>
        <v>CASHFREE</v>
      </c>
      <c r="O3" t="str">
        <f>TRIM(Raw_Data!O3)</f>
        <v/>
      </c>
      <c r="P3">
        <v>2</v>
      </c>
      <c r="Q3" t="str">
        <f>TRIM(Raw_Data!Q3)</f>
        <v>FLAT</v>
      </c>
      <c r="R3">
        <v>2</v>
      </c>
      <c r="S3" t="str">
        <f>TRIM(Raw_Data!S3)</f>
        <v>FLAT</v>
      </c>
      <c r="T3">
        <v>0</v>
      </c>
      <c r="U3" t="str">
        <f>TRIM(Raw_Data!U3)</f>
        <v>FLAT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25">
      <c r="A4" t="str">
        <f>TRIM(Raw_Data!A4)</f>
        <v>3</v>
      </c>
      <c r="B4" t="str">
        <f>TRIM(Raw_Data!B4)</f>
        <v>R P College of Pharmacy</v>
      </c>
      <c r="C4" t="str">
        <f>TRIM(Raw_Data!C4)</f>
        <v>21/4/2025, 10:31:19 am</v>
      </c>
      <c r="D4" t="str">
        <f>TRIM(Raw_Data!D4)</f>
        <v>EDVI0000002722</v>
      </c>
      <c r="E4" t="str">
        <f>TRIM(Raw_Data!E4)</f>
        <v>6805d11f8218d3a8c0364231</v>
      </c>
      <c r="F4">
        <v>10000</v>
      </c>
      <c r="G4">
        <v>10002.36</v>
      </c>
      <c r="H4" t="str">
        <f>TRIM(Raw_Data!H4)</f>
        <v>upi</v>
      </c>
      <c r="I4" t="str">
        <f>TRIM(Raw_Data!I4)</f>
        <v>UPI</v>
      </c>
      <c r="J4" t="str">
        <f>TRIM(Raw_Data!J4)</f>
        <v>SUCCESS</v>
      </c>
      <c r="K4" t="str">
        <f>TRIM(Raw_Data!K4)</f>
        <v>Dattatray Uttam Gholve</v>
      </c>
      <c r="L4" t="str">
        <f>TRIM(Raw_Data!L4)</f>
        <v/>
      </c>
      <c r="M4" t="str">
        <f>TRIM(Raw_Data!M4)</f>
        <v>NA</v>
      </c>
      <c r="N4" t="str">
        <f>TRIM(Raw_Data!N4)</f>
        <v>CASHFREE</v>
      </c>
      <c r="O4" t="str">
        <f>TRIM(Raw_Data!O4)</f>
        <v/>
      </c>
      <c r="P4">
        <v>2</v>
      </c>
      <c r="Q4" t="str">
        <f>TRIM(Raw_Data!Q4)</f>
        <v>FLAT</v>
      </c>
      <c r="R4">
        <v>2</v>
      </c>
      <c r="S4" t="str">
        <f>TRIM(Raw_Data!S4)</f>
        <v>FLAT</v>
      </c>
      <c r="T4">
        <v>0</v>
      </c>
      <c r="U4" t="str">
        <f>TRIM(Raw_Data!U4)</f>
        <v>FLAT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25">
      <c r="A5" t="str">
        <f>TRIM(Raw_Data!A5)</f>
        <v>4</v>
      </c>
      <c r="B5" t="str">
        <f>TRIM(Raw_Data!B5)</f>
        <v>R P College of Pharmacy</v>
      </c>
      <c r="C5" t="str">
        <f>TRIM(Raw_Data!C5)</f>
        <v>29/4/2025, 11:10:54 am</v>
      </c>
      <c r="D5" t="str">
        <f>TRIM(Raw_Data!D5)</f>
        <v>EDVI0000002724</v>
      </c>
      <c r="E5" t="str">
        <f>TRIM(Raw_Data!E5)</f>
        <v>681066668dde280c7a057a3a</v>
      </c>
      <c r="F5">
        <v>5000</v>
      </c>
      <c r="G5">
        <v>5002.3599999999997</v>
      </c>
      <c r="H5" t="str">
        <f>TRIM(Raw_Data!H5)</f>
        <v>upi</v>
      </c>
      <c r="I5" t="str">
        <f>TRIM(Raw_Data!I5)</f>
        <v>UPI</v>
      </c>
      <c r="J5" t="str">
        <f>TRIM(Raw_Data!J5)</f>
        <v>SUCCESS</v>
      </c>
      <c r="K5" t="str">
        <f>TRIM(Raw_Data!K5)</f>
        <v>Saniya Wajid Shaikh</v>
      </c>
      <c r="L5" t="str">
        <f>TRIM(Raw_Data!L5)</f>
        <v/>
      </c>
      <c r="M5" t="str">
        <f>TRIM(Raw_Data!M5)</f>
        <v>NA</v>
      </c>
      <c r="N5" t="str">
        <f>TRIM(Raw_Data!N5)</f>
        <v>CASHFREE</v>
      </c>
      <c r="O5" t="str">
        <f>TRIM(Raw_Data!O5)</f>
        <v/>
      </c>
      <c r="P5">
        <v>2</v>
      </c>
      <c r="Q5" t="str">
        <f>TRIM(Raw_Data!Q5)</f>
        <v>FLAT</v>
      </c>
      <c r="R5">
        <v>2</v>
      </c>
      <c r="S5" t="str">
        <f>TRIM(Raw_Data!S5)</f>
        <v>FLAT</v>
      </c>
      <c r="T5">
        <v>0</v>
      </c>
      <c r="U5" t="str">
        <f>TRIM(Raw_Data!U5)</f>
        <v>FLAT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25">
      <c r="A6" t="str">
        <f>TRIM(Raw_Data!A6)</f>
        <v>5</v>
      </c>
      <c r="B6" t="str">
        <f>TRIM(Raw_Data!B6)</f>
        <v>R P College of Pharmacy</v>
      </c>
      <c r="C6" t="str">
        <f>TRIM(Raw_Data!C6)</f>
        <v>29/4/2025, 11:14:19 am</v>
      </c>
      <c r="D6" t="str">
        <f>TRIM(Raw_Data!D6)</f>
        <v>EDVI0000002725</v>
      </c>
      <c r="E6" t="str">
        <f>TRIM(Raw_Data!E6)</f>
        <v>68106733d4b7fd07d305e50a</v>
      </c>
      <c r="F6">
        <v>5000</v>
      </c>
      <c r="G6">
        <v>5002.3599999999997</v>
      </c>
      <c r="H6" t="str">
        <f>TRIM(Raw_Data!H6)</f>
        <v>upi</v>
      </c>
      <c r="I6" t="str">
        <f>TRIM(Raw_Data!I6)</f>
        <v>UPI</v>
      </c>
      <c r="J6" t="str">
        <f>TRIM(Raw_Data!J6)</f>
        <v>SUCCESS</v>
      </c>
      <c r="K6" t="str">
        <f>TRIM(Raw_Data!K6)</f>
        <v>Pooja subhashprasad shukla</v>
      </c>
      <c r="L6" t="str">
        <f>TRIM(Raw_Data!L6)</f>
        <v/>
      </c>
      <c r="M6" t="str">
        <f>TRIM(Raw_Data!M6)</f>
        <v>NA</v>
      </c>
      <c r="N6" t="str">
        <f>TRIM(Raw_Data!N6)</f>
        <v>CASHFREE</v>
      </c>
      <c r="O6" t="str">
        <f>TRIM(Raw_Data!O6)</f>
        <v/>
      </c>
      <c r="P6">
        <v>2</v>
      </c>
      <c r="Q6" t="str">
        <f>TRIM(Raw_Data!Q6)</f>
        <v>FLAT</v>
      </c>
      <c r="R6">
        <v>2</v>
      </c>
      <c r="S6" t="str">
        <f>TRIM(Raw_Data!S6)</f>
        <v>FLAT</v>
      </c>
      <c r="T6">
        <v>0</v>
      </c>
      <c r="U6" t="str">
        <f>TRIM(Raw_Data!U6)</f>
        <v>FLAT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25">
      <c r="A7" t="str">
        <f>TRIM(Raw_Data!A7)</f>
        <v>6</v>
      </c>
      <c r="B7" t="str">
        <f>TRIM(Raw_Data!B7)</f>
        <v>R P College of Pharmacy</v>
      </c>
      <c r="C7" t="str">
        <f>TRIM(Raw_Data!C7)</f>
        <v>30/4/2025, 1:53:35 pm</v>
      </c>
      <c r="D7" t="str">
        <f>TRIM(Raw_Data!D7)</f>
        <v>EDVI0000004024</v>
      </c>
      <c r="E7" t="str">
        <f>TRIM(Raw_Data!E7)</f>
        <v>6811de07d4b7fd07d306cb37</v>
      </c>
      <c r="F7">
        <v>10000</v>
      </c>
      <c r="G7">
        <v>10002.36</v>
      </c>
      <c r="H7" t="str">
        <f>TRIM(Raw_Data!H7)</f>
        <v>upi</v>
      </c>
      <c r="I7" t="str">
        <f>TRIM(Raw_Data!I7)</f>
        <v>UPI</v>
      </c>
      <c r="J7" t="str">
        <f>TRIM(Raw_Data!J7)</f>
        <v>SUCCESS</v>
      </c>
      <c r="K7" t="str">
        <f>TRIM(Raw_Data!K7)</f>
        <v>BEGADE HALIMA BADSHAHA</v>
      </c>
      <c r="L7" t="str">
        <f>TRIM(Raw_Data!L7)</f>
        <v/>
      </c>
      <c r="M7" t="str">
        <f>TRIM(Raw_Data!M7)</f>
        <v>NA</v>
      </c>
      <c r="N7" t="str">
        <f>TRIM(Raw_Data!N7)</f>
        <v>CASHFREE</v>
      </c>
      <c r="O7" t="str">
        <f>TRIM(Raw_Data!O7)</f>
        <v/>
      </c>
      <c r="P7">
        <v>2</v>
      </c>
      <c r="Q7" t="str">
        <f>TRIM(Raw_Data!Q7)</f>
        <v>FLAT</v>
      </c>
      <c r="R7">
        <v>2</v>
      </c>
      <c r="S7" t="str">
        <f>TRIM(Raw_Data!S7)</f>
        <v>FLAT</v>
      </c>
      <c r="T7">
        <v>0</v>
      </c>
      <c r="U7" t="str">
        <f>TRIM(Raw_Data!U7)</f>
        <v>FLAT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tr">
        <f>TRIM(Raw_Data!A8)</f>
        <v>7</v>
      </c>
      <c r="B8" t="str">
        <f>TRIM(Raw_Data!B8)</f>
        <v>R P College of Pharmacy</v>
      </c>
      <c r="C8" t="str">
        <f>TRIM(Raw_Data!C8)</f>
        <v>30/4/2025, 2:03:25 pm</v>
      </c>
      <c r="D8" t="str">
        <f>TRIM(Raw_Data!D8)</f>
        <v>EDVI0000004025</v>
      </c>
      <c r="E8" t="str">
        <f>TRIM(Raw_Data!E8)</f>
        <v>6811e055d4b7fd07d306ceed</v>
      </c>
      <c r="F8">
        <v>18836</v>
      </c>
      <c r="G8">
        <v>18838.36</v>
      </c>
      <c r="H8" t="str">
        <f>TRIM(Raw_Data!H8)</f>
        <v>upi</v>
      </c>
      <c r="I8" t="str">
        <f>TRIM(Raw_Data!I8)</f>
        <v>UPI</v>
      </c>
      <c r="J8" t="str">
        <f>TRIM(Raw_Data!J8)</f>
        <v>SUCCESS</v>
      </c>
      <c r="K8" t="str">
        <f>TRIM(Raw_Data!K8)</f>
        <v>JADHAV GAURAV SANTOSH</v>
      </c>
      <c r="L8" t="str">
        <f>TRIM(Raw_Data!L8)</f>
        <v/>
      </c>
      <c r="M8" t="str">
        <f>TRIM(Raw_Data!M8)</f>
        <v>NA</v>
      </c>
      <c r="N8" t="str">
        <f>TRIM(Raw_Data!N8)</f>
        <v>CASHFREE</v>
      </c>
      <c r="O8" t="str">
        <f>TRIM(Raw_Data!O8)</f>
        <v/>
      </c>
      <c r="P8">
        <v>2</v>
      </c>
      <c r="Q8" t="str">
        <f>TRIM(Raw_Data!Q8)</f>
        <v>FLAT</v>
      </c>
      <c r="R8">
        <v>2</v>
      </c>
      <c r="S8" t="str">
        <f>TRIM(Raw_Data!S8)</f>
        <v>FLAT</v>
      </c>
      <c r="T8">
        <v>0</v>
      </c>
      <c r="U8" t="str">
        <f>TRIM(Raw_Data!U8)</f>
        <v>FLAT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tr">
        <f>TRIM(Raw_Data!A9)</f>
        <v>1</v>
      </c>
      <c r="B9" t="str">
        <f>TRIM(Raw_Data!B9)</f>
        <v>R P College of Pharmacy</v>
      </c>
      <c r="C9" t="str">
        <f>TRIM(Raw_Data!C9)</f>
        <v>14/6/2025, 11:24:42 am</v>
      </c>
      <c r="D9" t="str">
        <f>TRIM(Raw_Data!D9)</f>
        <v>EDVI0000004079</v>
      </c>
      <c r="E9" t="str">
        <f>TRIM(Raw_Data!E9)</f>
        <v>684d0ea2b1091c01feb8de58</v>
      </c>
      <c r="F9">
        <v>10576</v>
      </c>
      <c r="G9">
        <v>10578.36</v>
      </c>
      <c r="H9" t="str">
        <f>TRIM(Raw_Data!H9)</f>
        <v>upi</v>
      </c>
      <c r="I9" t="str">
        <f>TRIM(Raw_Data!I9)</f>
        <v>Others</v>
      </c>
      <c r="J9" t="str">
        <f>TRIM(Raw_Data!J9)</f>
        <v>SUCCESS</v>
      </c>
      <c r="K9" t="str">
        <f>TRIM(Raw_Data!K9)</f>
        <v>SOHAM SAGAR KHOT</v>
      </c>
      <c r="L9" t="str">
        <f>TRIM(Raw_Data!L9)</f>
        <v/>
      </c>
      <c r="M9" t="str">
        <f>TRIM(Raw_Data!M9)</f>
        <v>NA</v>
      </c>
      <c r="N9" t="str">
        <f>TRIM(Raw_Data!N9)</f>
        <v>CASHFREE</v>
      </c>
      <c r="O9" t="str">
        <f>TRIM(Raw_Data!O9)</f>
        <v/>
      </c>
      <c r="P9">
        <v>2</v>
      </c>
      <c r="Q9" t="str">
        <f>TRIM(Raw_Data!Q9)</f>
        <v>FLAT</v>
      </c>
      <c r="R9">
        <v>2</v>
      </c>
      <c r="S9" t="str">
        <f>TRIM(Raw_Data!S9)</f>
        <v>FLAT</v>
      </c>
      <c r="T9">
        <v>0</v>
      </c>
      <c r="U9" t="str">
        <f>TRIM(Raw_Data!U9)</f>
        <v>FLAT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tr">
        <f>TRIM(Raw_Data!A10)</f>
        <v>2</v>
      </c>
      <c r="B10" t="str">
        <f>TRIM(Raw_Data!B10)</f>
        <v>R P College of Pharmacy</v>
      </c>
      <c r="C10" t="str">
        <f>TRIM(Raw_Data!C10)</f>
        <v>7/7/2025, 4:08:10 PM</v>
      </c>
      <c r="D10" t="str">
        <f>TRIM(Raw_Data!D10)</f>
        <v>EDVI0000004105</v>
      </c>
      <c r="E10" t="str">
        <f>TRIM(Raw_Data!E10)</f>
        <v>686ba3924e76b124b7acdd57</v>
      </c>
      <c r="F10">
        <v>1</v>
      </c>
      <c r="G10">
        <v>3.36</v>
      </c>
      <c r="H10" t="str">
        <f>TRIM(Raw_Data!H10)</f>
        <v>upi</v>
      </c>
      <c r="I10" t="str">
        <f>TRIM(Raw_Data!I10)</f>
        <v>Others</v>
      </c>
      <c r="J10" t="str">
        <f>TRIM(Raw_Data!J10)</f>
        <v>SUCCESS</v>
      </c>
      <c r="K10" t="str">
        <f>TRIM(Raw_Data!K10)</f>
        <v>Test Student</v>
      </c>
      <c r="L10" t="str">
        <f>TRIM(Raw_Data!L10)</f>
        <v/>
      </c>
      <c r="M10" t="str">
        <f>TRIM(Raw_Data!M10)</f>
        <v>NA</v>
      </c>
      <c r="N10" t="str">
        <f>TRIM(Raw_Data!N10)</f>
        <v>CASHFREE</v>
      </c>
      <c r="O10" t="str">
        <f>TRIM(Raw_Data!O10)</f>
        <v/>
      </c>
      <c r="P10">
        <v>2</v>
      </c>
      <c r="Q10" t="str">
        <f>TRIM(Raw_Data!Q10)</f>
        <v>FLAT</v>
      </c>
      <c r="R10">
        <v>2</v>
      </c>
      <c r="S10" t="str">
        <f>TRIM(Raw_Data!S10)</f>
        <v>FLAT</v>
      </c>
      <c r="T10">
        <v>0</v>
      </c>
      <c r="U10" t="str">
        <f>TRIM(Raw_Data!U10)</f>
        <v>FLAT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tr">
        <f>TRIM(Raw_Data!A11)</f>
        <v>6</v>
      </c>
      <c r="B11" t="str">
        <f>TRIM(Raw_Data!B11)</f>
        <v>ST MICHAEL'S SCHOOL FOR GIRLS</v>
      </c>
      <c r="C11" t="str">
        <f>TRIM(Raw_Data!C11)</f>
        <v>14/11/2025, 10:46:26 am</v>
      </c>
      <c r="D11" t="str">
        <f>TRIM(Raw_Data!D11)</f>
        <v>SMED0000000331</v>
      </c>
      <c r="E11" t="str">
        <f>TRIM(Raw_Data!E11)</f>
        <v>6916bb2afede88bc173e1480</v>
      </c>
      <c r="F11">
        <v>34325</v>
      </c>
      <c r="G11">
        <v>34327.360000000001</v>
      </c>
      <c r="H11" t="str">
        <f>TRIM(Raw_Data!H11)</f>
        <v>upi</v>
      </c>
      <c r="I11" t="str">
        <f>TRIM(Raw_Data!I11)</f>
        <v>Others</v>
      </c>
      <c r="J11" t="str">
        <f>TRIM(Raw_Data!J11)</f>
        <v>SUCCESS</v>
      </c>
      <c r="K11" t="str">
        <f>TRIM(Raw_Data!K11)</f>
        <v>RUDRANI SENGUPTA</v>
      </c>
      <c r="L11" t="str">
        <f>TRIM(Raw_Data!L11)</f>
        <v/>
      </c>
      <c r="M11" t="str">
        <f>TRIM(Raw_Data!M11)</f>
        <v>NA</v>
      </c>
      <c r="N11" t="str">
        <f>TRIM(Raw_Data!N11)</f>
        <v>EDVIRON_EASEBUZZ</v>
      </c>
      <c r="O11" t="str">
        <f>TRIM(Raw_Data!O11)</f>
        <v/>
      </c>
      <c r="P11">
        <v>2</v>
      </c>
      <c r="Q11" t="str">
        <f>TRIM(Raw_Data!Q11)</f>
        <v>FLAT</v>
      </c>
      <c r="R11">
        <v>2</v>
      </c>
      <c r="S11" t="str">
        <f>TRIM(Raw_Data!S11)</f>
        <v>FLAT</v>
      </c>
      <c r="T11">
        <v>0</v>
      </c>
      <c r="U11" t="str">
        <f>TRIM(Raw_Data!U11)</f>
        <v>FLAT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t="str">
        <f>TRIM(Raw_Data!A12)</f>
        <v>8</v>
      </c>
      <c r="B12" t="str">
        <f>TRIM(Raw_Data!B12)</f>
        <v>ST MICHAEL'S SCHOOL FOR GIRLS</v>
      </c>
      <c r="C12" t="str">
        <f>TRIM(Raw_Data!C12)</f>
        <v>30/11/2025, 2:29:11 pm</v>
      </c>
      <c r="D12" t="str">
        <f>TRIM(Raw_Data!D12)</f>
        <v>SMED0000000337</v>
      </c>
      <c r="E12" t="str">
        <f>TRIM(Raw_Data!E12)</f>
        <v>692c075f09edb37dee1521c4</v>
      </c>
      <c r="F12">
        <v>38100</v>
      </c>
      <c r="G12">
        <v>38102.36</v>
      </c>
      <c r="H12" t="str">
        <f>TRIM(Raw_Data!H12)</f>
        <v>upi</v>
      </c>
      <c r="I12" t="str">
        <f>TRIM(Raw_Data!I12)</f>
        <v>Others</v>
      </c>
      <c r="J12" t="str">
        <f>TRIM(Raw_Data!J12)</f>
        <v>SUCCESS</v>
      </c>
      <c r="K12" t="str">
        <f>TRIM(Raw_Data!K12)</f>
        <v>VASUDHA ALOK</v>
      </c>
      <c r="L12" t="str">
        <f>TRIM(Raw_Data!L12)</f>
        <v/>
      </c>
      <c r="M12" t="str">
        <f>TRIM(Raw_Data!M12)</f>
        <v>NA</v>
      </c>
      <c r="N12" t="str">
        <f>TRIM(Raw_Data!N12)</f>
        <v>EDVIRON_EASEBUZZ</v>
      </c>
      <c r="O12" t="str">
        <f>TRIM(Raw_Data!O12)</f>
        <v/>
      </c>
      <c r="P12">
        <v>2</v>
      </c>
      <c r="Q12" t="str">
        <f>TRIM(Raw_Data!Q12)</f>
        <v>FLAT</v>
      </c>
      <c r="R12">
        <v>2</v>
      </c>
      <c r="S12" t="str">
        <f>TRIM(Raw_Data!S12)</f>
        <v>FLAT</v>
      </c>
      <c r="T12">
        <v>0</v>
      </c>
      <c r="U12" t="str">
        <f>TRIM(Raw_Data!U12)</f>
        <v>FLAT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25">
      <c r="A13" t="str">
        <f>TRIM(Raw_Data!A13)</f>
        <v>1</v>
      </c>
      <c r="B13" t="str">
        <f>TRIM(Raw_Data!B13)</f>
        <v>ST MICHAEL'S SCHOOL FOR GIRLS</v>
      </c>
      <c r="C13" t="str">
        <f>TRIM(Raw_Data!C13)</f>
        <v>1/12/2025, 1:41:08 PM</v>
      </c>
      <c r="D13" t="str">
        <f>TRIM(Raw_Data!D13)</f>
        <v>SMED0000000339</v>
      </c>
      <c r="E13" t="str">
        <f>TRIM(Raw_Data!E13)</f>
        <v>692d4d9c4b29e4e74d7d73d4</v>
      </c>
      <c r="F13">
        <v>10350</v>
      </c>
      <c r="G13">
        <v>10352.36</v>
      </c>
      <c r="H13" t="str">
        <f>TRIM(Raw_Data!H13)</f>
        <v>upi</v>
      </c>
      <c r="I13" t="str">
        <f>TRIM(Raw_Data!I13)</f>
        <v>-</v>
      </c>
      <c r="J13" t="str">
        <f>TRIM(Raw_Data!J13)</f>
        <v>SUCCESS</v>
      </c>
      <c r="K13" t="str">
        <f>TRIM(Raw_Data!K13)</f>
        <v>SHRITI SHARMA</v>
      </c>
      <c r="L13" t="str">
        <f>TRIM(Raw_Data!L13)</f>
        <v/>
      </c>
      <c r="M13" t="str">
        <f>TRIM(Raw_Data!M13)</f>
        <v>NA</v>
      </c>
      <c r="N13" t="str">
        <f>TRIM(Raw_Data!N13)</f>
        <v>EDVIRON_EASEBUZZ</v>
      </c>
      <c r="O13" t="str">
        <f>TRIM(Raw_Data!O13)</f>
        <v/>
      </c>
      <c r="P13">
        <v>2</v>
      </c>
      <c r="Q13" t="str">
        <f>TRIM(Raw_Data!Q13)</f>
        <v>FLAT</v>
      </c>
      <c r="R13">
        <v>2</v>
      </c>
      <c r="S13" t="str">
        <f>TRIM(Raw_Data!S13)</f>
        <v>FLAT</v>
      </c>
      <c r="T13">
        <v>0</v>
      </c>
      <c r="U13" t="str">
        <f>TRIM(Raw_Data!U13)</f>
        <v>FLAT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25">
      <c r="A14" t="str">
        <f>TRIM(Raw_Data!A14)</f>
        <v>2</v>
      </c>
      <c r="B14" t="str">
        <f>TRIM(Raw_Data!B14)</f>
        <v>ST MICHAEL'S SCHOOL FOR GIRLS</v>
      </c>
      <c r="C14" t="str">
        <f>TRIM(Raw_Data!C14)</f>
        <v>2/12/2025, 9:46:41 AM</v>
      </c>
      <c r="D14" t="str">
        <f>TRIM(Raw_Data!D14)</f>
        <v>SMED0000000346</v>
      </c>
      <c r="E14" t="str">
        <f>TRIM(Raw_Data!E14)</f>
        <v>692e6829520e62e5c16bbb56</v>
      </c>
      <c r="F14">
        <v>10950</v>
      </c>
      <c r="G14">
        <v>10952.36</v>
      </c>
      <c r="H14" t="str">
        <f>TRIM(Raw_Data!H14)</f>
        <v>upi</v>
      </c>
      <c r="I14" t="str">
        <f>TRIM(Raw_Data!I14)</f>
        <v>Others</v>
      </c>
      <c r="J14" t="str">
        <f>TRIM(Raw_Data!J14)</f>
        <v>SUCCESS</v>
      </c>
      <c r="K14" t="str">
        <f>TRIM(Raw_Data!K14)</f>
        <v>SUBHASMITA SANYAL</v>
      </c>
      <c r="L14" t="str">
        <f>TRIM(Raw_Data!L14)</f>
        <v/>
      </c>
      <c r="M14" t="str">
        <f>TRIM(Raw_Data!M14)</f>
        <v>NA</v>
      </c>
      <c r="N14" t="str">
        <f>TRIM(Raw_Data!N14)</f>
        <v>EDVIRON_EASEBUZZ</v>
      </c>
      <c r="O14" t="str">
        <f>TRIM(Raw_Data!O14)</f>
        <v/>
      </c>
      <c r="P14">
        <v>2</v>
      </c>
      <c r="Q14" t="str">
        <f>TRIM(Raw_Data!Q14)</f>
        <v>FLAT</v>
      </c>
      <c r="R14">
        <v>2</v>
      </c>
      <c r="S14" t="str">
        <f>TRIM(Raw_Data!S14)</f>
        <v>FLAT</v>
      </c>
      <c r="T14">
        <v>0</v>
      </c>
      <c r="U14" t="str">
        <f>TRIM(Raw_Data!U14)</f>
        <v>FLAT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25">
      <c r="A15" t="str">
        <f>TRIM(Raw_Data!A15)</f>
        <v>3</v>
      </c>
      <c r="B15" t="str">
        <f>TRIM(Raw_Data!B15)</f>
        <v>ST MICHAEL'S SCHOOL FOR GIRLS</v>
      </c>
      <c r="C15" t="str">
        <f>TRIM(Raw_Data!C15)</f>
        <v>2/12/2025, 2:06:21 PM</v>
      </c>
      <c r="D15" t="str">
        <f>TRIM(Raw_Data!D15)</f>
        <v>SMED0000000349</v>
      </c>
      <c r="E15" t="str">
        <f>TRIM(Raw_Data!E15)</f>
        <v>692ea505520e62e5c16e09b6</v>
      </c>
      <c r="F15">
        <v>10350</v>
      </c>
      <c r="G15">
        <v>10352.36</v>
      </c>
      <c r="H15" t="str">
        <f>TRIM(Raw_Data!H15)</f>
        <v>upi</v>
      </c>
      <c r="I15" t="str">
        <f>TRIM(Raw_Data!I15)</f>
        <v>Others</v>
      </c>
      <c r="J15" t="str">
        <f>TRIM(Raw_Data!J15)</f>
        <v>SUCCESS</v>
      </c>
      <c r="K15" t="str">
        <f>TRIM(Raw_Data!K15)</f>
        <v>PRAANAVI PURKAYASTHA</v>
      </c>
      <c r="L15" t="str">
        <f>TRIM(Raw_Data!L15)</f>
        <v/>
      </c>
      <c r="M15" t="str">
        <f>TRIM(Raw_Data!M15)</f>
        <v>NA</v>
      </c>
      <c r="N15" t="str">
        <f>TRIM(Raw_Data!N15)</f>
        <v>EDVIRON_EASEBUZZ</v>
      </c>
      <c r="O15" t="str">
        <f>TRIM(Raw_Data!O15)</f>
        <v/>
      </c>
      <c r="P15">
        <v>2</v>
      </c>
      <c r="Q15" t="str">
        <f>TRIM(Raw_Data!Q15)</f>
        <v>FLAT</v>
      </c>
      <c r="R15">
        <v>2</v>
      </c>
      <c r="S15" t="str">
        <f>TRIM(Raw_Data!S15)</f>
        <v>FLAT</v>
      </c>
      <c r="T15">
        <v>0</v>
      </c>
      <c r="U15" t="str">
        <f>TRIM(Raw_Data!U15)</f>
        <v>FLAT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25">
      <c r="A16" t="str">
        <f>TRIM(Raw_Data!A16)</f>
        <v>4</v>
      </c>
      <c r="B16" t="str">
        <f>TRIM(Raw_Data!B16)</f>
        <v>ST MICHAEL'S SCHOOL FOR GIRLS</v>
      </c>
      <c r="C16" t="str">
        <f>TRIM(Raw_Data!C16)</f>
        <v>3/12/2025, 10:46:31 AM</v>
      </c>
      <c r="D16" t="str">
        <f>TRIM(Raw_Data!D16)</f>
        <v>SMED0000000352</v>
      </c>
      <c r="E16" t="str">
        <f>TRIM(Raw_Data!E16)</f>
        <v>692fc7af0dd7d8c4549949d0</v>
      </c>
      <c r="F16">
        <v>10950</v>
      </c>
      <c r="G16">
        <v>10952.36</v>
      </c>
      <c r="H16" t="str">
        <f>TRIM(Raw_Data!H16)</f>
        <v>upi</v>
      </c>
      <c r="I16" t="str">
        <f>TRIM(Raw_Data!I16)</f>
        <v>-</v>
      </c>
      <c r="J16" t="str">
        <f>TRIM(Raw_Data!J16)</f>
        <v>SUCCESS</v>
      </c>
      <c r="K16" t="str">
        <f>TRIM(Raw_Data!K16)</f>
        <v>MAHIRA SHARMA</v>
      </c>
      <c r="L16" t="str">
        <f>TRIM(Raw_Data!L16)</f>
        <v/>
      </c>
      <c r="M16" t="str">
        <f>TRIM(Raw_Data!M16)</f>
        <v>NA</v>
      </c>
      <c r="N16" t="str">
        <f>TRIM(Raw_Data!N16)</f>
        <v>EDVIRON_EASEBUZZ</v>
      </c>
      <c r="O16" t="str">
        <f>TRIM(Raw_Data!O16)</f>
        <v/>
      </c>
      <c r="P16">
        <v>2</v>
      </c>
      <c r="Q16" t="str">
        <f>TRIM(Raw_Data!Q16)</f>
        <v>FLAT</v>
      </c>
      <c r="R16">
        <v>2</v>
      </c>
      <c r="S16" t="str">
        <f>TRIM(Raw_Data!S16)</f>
        <v>FLAT</v>
      </c>
      <c r="T16">
        <v>0</v>
      </c>
      <c r="U16" t="str">
        <f>TRIM(Raw_Data!U16)</f>
        <v>FLAT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25">
      <c r="A17" t="str">
        <f>TRIM(Raw_Data!A17)</f>
        <v>5</v>
      </c>
      <c r="B17" t="str">
        <f>TRIM(Raw_Data!B17)</f>
        <v>ST MICHAEL'S SCHOOL FOR GIRLS</v>
      </c>
      <c r="C17" t="str">
        <f>TRIM(Raw_Data!C17)</f>
        <v>3/12/2025, 10:21:18 PM</v>
      </c>
      <c r="D17" t="str">
        <f>TRIM(Raw_Data!D17)</f>
        <v>SMED0000000354</v>
      </c>
      <c r="E17" t="str">
        <f>TRIM(Raw_Data!E17)</f>
        <v>69306a86fd4e190db77fe493</v>
      </c>
      <c r="F17">
        <v>74150</v>
      </c>
      <c r="G17">
        <v>74152.36</v>
      </c>
      <c r="H17" t="str">
        <f>TRIM(Raw_Data!H17)</f>
        <v>upi</v>
      </c>
      <c r="I17" t="str">
        <f>TRIM(Raw_Data!I17)</f>
        <v>Others</v>
      </c>
      <c r="J17" t="str">
        <f>TRIM(Raw_Data!J17)</f>
        <v>SUCCESS</v>
      </c>
      <c r="K17" t="str">
        <f>TRIM(Raw_Data!K17)</f>
        <v>AANUSAH REZA</v>
      </c>
      <c r="L17" t="str">
        <f>TRIM(Raw_Data!L17)</f>
        <v/>
      </c>
      <c r="M17" t="str">
        <f>TRIM(Raw_Data!M17)</f>
        <v>NA</v>
      </c>
      <c r="N17" t="str">
        <f>TRIM(Raw_Data!N17)</f>
        <v>EDVIRON_EASEBUZZ</v>
      </c>
      <c r="O17" t="str">
        <f>TRIM(Raw_Data!O17)</f>
        <v/>
      </c>
      <c r="P17">
        <v>2</v>
      </c>
      <c r="Q17" t="str">
        <f>TRIM(Raw_Data!Q17)</f>
        <v>FLAT</v>
      </c>
      <c r="R17">
        <v>2</v>
      </c>
      <c r="S17" t="str">
        <f>TRIM(Raw_Data!S17)</f>
        <v>FLAT</v>
      </c>
      <c r="T17">
        <v>0</v>
      </c>
      <c r="U17" t="str">
        <f>TRIM(Raw_Data!U17)</f>
        <v>FLAT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25">
      <c r="A18" t="str">
        <f>TRIM(Raw_Data!A18)</f>
        <v>6</v>
      </c>
      <c r="B18" t="str">
        <f>TRIM(Raw_Data!B18)</f>
        <v>ST MICHAEL'S SCHOOL FOR GIRLS</v>
      </c>
      <c r="C18" t="str">
        <f>TRIM(Raw_Data!C18)</f>
        <v>5/12/2025, 12:07:17 PM</v>
      </c>
      <c r="D18" t="str">
        <f>TRIM(Raw_Data!D18)</f>
        <v>SMED0000000362</v>
      </c>
      <c r="E18" t="str">
        <f>TRIM(Raw_Data!E18)</f>
        <v>69327d9d3ba018b7e9e5aca0</v>
      </c>
      <c r="F18">
        <v>10350</v>
      </c>
      <c r="G18">
        <v>10352.36</v>
      </c>
      <c r="H18" t="str">
        <f>TRIM(Raw_Data!H18)</f>
        <v>upi</v>
      </c>
      <c r="I18" t="str">
        <f>TRIM(Raw_Data!I18)</f>
        <v>-</v>
      </c>
      <c r="J18" t="str">
        <f>TRIM(Raw_Data!J18)</f>
        <v>SUCCESS</v>
      </c>
      <c r="K18" t="str">
        <f>TRIM(Raw_Data!K18)</f>
        <v>DIVISHA BANERJEE</v>
      </c>
      <c r="L18" t="str">
        <f>TRIM(Raw_Data!L18)</f>
        <v/>
      </c>
      <c r="M18" t="str">
        <f>TRIM(Raw_Data!M18)</f>
        <v>NA</v>
      </c>
      <c r="N18" t="str">
        <f>TRIM(Raw_Data!N18)</f>
        <v>EDVIRON_EASEBUZZ</v>
      </c>
      <c r="O18" t="str">
        <f>TRIM(Raw_Data!O18)</f>
        <v/>
      </c>
      <c r="P18">
        <v>2</v>
      </c>
      <c r="Q18" t="str">
        <f>TRIM(Raw_Data!Q18)</f>
        <v>FLAT</v>
      </c>
      <c r="R18">
        <v>2</v>
      </c>
      <c r="S18" t="str">
        <f>TRIM(Raw_Data!S18)</f>
        <v>FLAT</v>
      </c>
      <c r="T18">
        <v>0</v>
      </c>
      <c r="U18" t="str">
        <f>TRIM(Raw_Data!U18)</f>
        <v>FLAT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25">
      <c r="A19" t="str">
        <f>TRIM(Raw_Data!A19)</f>
        <v>7</v>
      </c>
      <c r="B19" t="str">
        <f>TRIM(Raw_Data!B19)</f>
        <v>ST MICHAEL'S SCHOOL FOR GIRLS</v>
      </c>
      <c r="C19" t="str">
        <f>TRIM(Raw_Data!C19)</f>
        <v>6/12/2025, 7:49:59 AM</v>
      </c>
      <c r="D19" t="str">
        <f>TRIM(Raw_Data!D19)</f>
        <v>SMED0000000366</v>
      </c>
      <c r="E19" t="str">
        <f>TRIM(Raw_Data!E19)</f>
        <v>693392cfef53c64bd04b097e</v>
      </c>
      <c r="F19">
        <v>10350</v>
      </c>
      <c r="G19">
        <v>10352.36</v>
      </c>
      <c r="H19" t="str">
        <f>TRIM(Raw_Data!H19)</f>
        <v>upi</v>
      </c>
      <c r="I19" t="str">
        <f>TRIM(Raw_Data!I19)</f>
        <v>Others</v>
      </c>
      <c r="J19" t="str">
        <f>TRIM(Raw_Data!J19)</f>
        <v>SUCCESS</v>
      </c>
      <c r="K19" t="str">
        <f>TRIM(Raw_Data!K19)</f>
        <v>WRIDDHIMA SANTRA</v>
      </c>
      <c r="L19" t="str">
        <f>TRIM(Raw_Data!L19)</f>
        <v/>
      </c>
      <c r="M19" t="str">
        <f>TRIM(Raw_Data!M19)</f>
        <v>NA</v>
      </c>
      <c r="N19" t="str">
        <f>TRIM(Raw_Data!N19)</f>
        <v>EDVIRON_EASEBUZZ</v>
      </c>
      <c r="O19" t="str">
        <f>TRIM(Raw_Data!O19)</f>
        <v/>
      </c>
      <c r="P19">
        <v>2</v>
      </c>
      <c r="Q19" t="str">
        <f>TRIM(Raw_Data!Q19)</f>
        <v>FLAT</v>
      </c>
      <c r="R19">
        <v>2</v>
      </c>
      <c r="S19" t="str">
        <f>TRIM(Raw_Data!S19)</f>
        <v>FLAT</v>
      </c>
      <c r="T19">
        <v>0</v>
      </c>
      <c r="U19" t="str">
        <f>TRIM(Raw_Data!U19)</f>
        <v>FLAT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25">
      <c r="A20" t="str">
        <f>TRIM(Raw_Data!A20)</f>
        <v>8</v>
      </c>
      <c r="B20" t="str">
        <f>TRIM(Raw_Data!B20)</f>
        <v>ST MICHAEL'S SCHOOL FOR GIRLS</v>
      </c>
      <c r="C20" t="str">
        <f>TRIM(Raw_Data!C20)</f>
        <v>6/12/2025, 1:22:07 PM</v>
      </c>
      <c r="D20" t="str">
        <f>TRIM(Raw_Data!D20)</f>
        <v>SMED0000000369</v>
      </c>
      <c r="E20" t="str">
        <f>TRIM(Raw_Data!E20)</f>
        <v>6933e0a7ef53c64bd04d3ecb</v>
      </c>
      <c r="F20">
        <v>34325</v>
      </c>
      <c r="G20">
        <v>34327.360000000001</v>
      </c>
      <c r="H20" t="str">
        <f>TRIM(Raw_Data!H20)</f>
        <v>upi</v>
      </c>
      <c r="I20" t="str">
        <f>TRIM(Raw_Data!I20)</f>
        <v>-</v>
      </c>
      <c r="J20" t="str">
        <f>TRIM(Raw_Data!J20)</f>
        <v>SUCCESS</v>
      </c>
      <c r="K20" t="str">
        <f>TRIM(Raw_Data!K20)</f>
        <v>TRIPA AGARWAL</v>
      </c>
      <c r="L20" t="str">
        <f>TRIM(Raw_Data!L20)</f>
        <v/>
      </c>
      <c r="M20" t="str">
        <f>TRIM(Raw_Data!M20)</f>
        <v>NA</v>
      </c>
      <c r="N20" t="str">
        <f>TRIM(Raw_Data!N20)</f>
        <v>EDVIRON_EASEBUZZ</v>
      </c>
      <c r="O20" t="str">
        <f>TRIM(Raw_Data!O20)</f>
        <v/>
      </c>
      <c r="P20">
        <v>2</v>
      </c>
      <c r="Q20" t="str">
        <f>TRIM(Raw_Data!Q20)</f>
        <v>FLAT</v>
      </c>
      <c r="R20">
        <v>2</v>
      </c>
      <c r="S20" t="str">
        <f>TRIM(Raw_Data!S20)</f>
        <v>FLAT</v>
      </c>
      <c r="T20">
        <v>0</v>
      </c>
      <c r="U20" t="str">
        <f>TRIM(Raw_Data!U20)</f>
        <v>FLAT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25">
      <c r="A21" t="str">
        <f>TRIM(Raw_Data!A21)</f>
        <v>9</v>
      </c>
      <c r="B21" t="str">
        <f>TRIM(Raw_Data!B21)</f>
        <v>ST MICHAEL'S SCHOOL FOR GIRLS</v>
      </c>
      <c r="C21" t="str">
        <f>TRIM(Raw_Data!C21)</f>
        <v>7/12/2025, 11:55:56 AM</v>
      </c>
      <c r="D21" t="str">
        <f>TRIM(Raw_Data!D21)</f>
        <v>SMED0000000372</v>
      </c>
      <c r="E21" t="str">
        <f>TRIM(Raw_Data!E21)</f>
        <v>69351df4ef53c64bd052086e</v>
      </c>
      <c r="F21">
        <v>10950</v>
      </c>
      <c r="G21">
        <v>10952.36</v>
      </c>
      <c r="H21" t="str">
        <f>TRIM(Raw_Data!H21)</f>
        <v>upi</v>
      </c>
      <c r="I21" t="str">
        <f>TRIM(Raw_Data!I21)</f>
        <v>Others</v>
      </c>
      <c r="J21" t="str">
        <f>TRIM(Raw_Data!J21)</f>
        <v>SUCCESS</v>
      </c>
      <c r="K21" t="str">
        <f>TRIM(Raw_Data!K21)</f>
        <v>KAVYA MAHTO</v>
      </c>
      <c r="L21" t="str">
        <f>TRIM(Raw_Data!L21)</f>
        <v/>
      </c>
      <c r="M21" t="str">
        <f>TRIM(Raw_Data!M21)</f>
        <v>NA</v>
      </c>
      <c r="N21" t="str">
        <f>TRIM(Raw_Data!N21)</f>
        <v>EDVIRON_EASEBUZZ</v>
      </c>
      <c r="O21" t="str">
        <f>TRIM(Raw_Data!O21)</f>
        <v/>
      </c>
      <c r="P21">
        <v>2</v>
      </c>
      <c r="Q21" t="str">
        <f>TRIM(Raw_Data!Q21)</f>
        <v>FLAT</v>
      </c>
      <c r="R21">
        <v>2</v>
      </c>
      <c r="S21" t="str">
        <f>TRIM(Raw_Data!S21)</f>
        <v>FLAT</v>
      </c>
      <c r="T21">
        <v>0</v>
      </c>
      <c r="U21" t="str">
        <f>TRIM(Raw_Data!U21)</f>
        <v>FLAT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25">
      <c r="A22" t="str">
        <f>TRIM(Raw_Data!A22)</f>
        <v>10</v>
      </c>
      <c r="B22" t="str">
        <f>TRIM(Raw_Data!B22)</f>
        <v>ST MICHAEL'S SCHOOL FOR GIRLS</v>
      </c>
      <c r="C22" t="str">
        <f>TRIM(Raw_Data!C22)</f>
        <v>7/12/2025, 1:29:35 PM</v>
      </c>
      <c r="D22" t="str">
        <f>TRIM(Raw_Data!D22)</f>
        <v>SMED0000000373</v>
      </c>
      <c r="E22" t="str">
        <f>TRIM(Raw_Data!E22)</f>
        <v>693533e7ef53c64bd0525adc</v>
      </c>
      <c r="F22">
        <v>10350</v>
      </c>
      <c r="G22">
        <v>10352.36</v>
      </c>
      <c r="H22" t="str">
        <f>TRIM(Raw_Data!H22)</f>
        <v>upi</v>
      </c>
      <c r="I22" t="str">
        <f>TRIM(Raw_Data!I22)</f>
        <v>-</v>
      </c>
      <c r="J22" t="str">
        <f>TRIM(Raw_Data!J22)</f>
        <v>SUCCESS</v>
      </c>
      <c r="K22" t="str">
        <f>TRIM(Raw_Data!K22)</f>
        <v>YUVIKA AGARWAL</v>
      </c>
      <c r="L22" t="str">
        <f>TRIM(Raw_Data!L22)</f>
        <v/>
      </c>
      <c r="M22" t="str">
        <f>TRIM(Raw_Data!M22)</f>
        <v>NA</v>
      </c>
      <c r="N22" t="str">
        <f>TRIM(Raw_Data!N22)</f>
        <v>EDVIRON_EASEBUZZ</v>
      </c>
      <c r="O22" t="str">
        <f>TRIM(Raw_Data!O22)</f>
        <v/>
      </c>
      <c r="P22">
        <v>2</v>
      </c>
      <c r="Q22" t="str">
        <f>TRIM(Raw_Data!Q22)</f>
        <v>FLAT</v>
      </c>
      <c r="R22">
        <v>2</v>
      </c>
      <c r="S22" t="str">
        <f>TRIM(Raw_Data!S22)</f>
        <v>FLAT</v>
      </c>
      <c r="T22">
        <v>0</v>
      </c>
      <c r="U22" t="str">
        <f>TRIM(Raw_Data!U22)</f>
        <v>FLAT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25">
      <c r="A23" t="str">
        <f>TRIM(Raw_Data!A23)</f>
        <v>12</v>
      </c>
      <c r="B23" t="str">
        <f>TRIM(Raw_Data!B23)</f>
        <v>ST MICHAEL'S SCHOOL FOR GIRLS</v>
      </c>
      <c r="C23" t="str">
        <f>TRIM(Raw_Data!C23)</f>
        <v>8/12/2025, 7:38:40 AM</v>
      </c>
      <c r="D23" t="str">
        <f>TRIM(Raw_Data!D23)</f>
        <v>SMED0000000375</v>
      </c>
      <c r="E23" t="str">
        <f>TRIM(Raw_Data!E23)</f>
        <v>69363328ef53c64bd05736b9</v>
      </c>
      <c r="F23">
        <v>34325</v>
      </c>
      <c r="G23">
        <v>34327.360000000001</v>
      </c>
      <c r="H23" t="str">
        <f>TRIM(Raw_Data!H23)</f>
        <v>upi</v>
      </c>
      <c r="I23" t="str">
        <f>TRIM(Raw_Data!I23)</f>
        <v>-</v>
      </c>
      <c r="J23" t="str">
        <f>TRIM(Raw_Data!J23)</f>
        <v>SUCCESS</v>
      </c>
      <c r="K23" t="str">
        <f>TRIM(Raw_Data!K23)</f>
        <v>FRIYA AGARWAL</v>
      </c>
      <c r="L23" t="str">
        <f>TRIM(Raw_Data!L23)</f>
        <v/>
      </c>
      <c r="M23" t="str">
        <f>TRIM(Raw_Data!M23)</f>
        <v>NA</v>
      </c>
      <c r="N23" t="str">
        <f>TRIM(Raw_Data!N23)</f>
        <v>EDVIRON_EASEBUZZ</v>
      </c>
      <c r="O23" t="str">
        <f>TRIM(Raw_Data!O23)</f>
        <v/>
      </c>
      <c r="P23">
        <v>2</v>
      </c>
      <c r="Q23" t="str">
        <f>TRIM(Raw_Data!Q23)</f>
        <v>FLAT</v>
      </c>
      <c r="R23">
        <v>2</v>
      </c>
      <c r="S23" t="str">
        <f>TRIM(Raw_Data!S23)</f>
        <v>FLAT</v>
      </c>
      <c r="T23">
        <v>0</v>
      </c>
      <c r="U23" t="str">
        <f>TRIM(Raw_Data!U23)</f>
        <v>FLAT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25">
      <c r="A24" t="str">
        <f>TRIM(Raw_Data!A24)</f>
        <v>13</v>
      </c>
      <c r="B24" t="str">
        <f>TRIM(Raw_Data!B24)</f>
        <v>ST MICHAEL'S SCHOOL FOR GIRLS</v>
      </c>
      <c r="C24" t="str">
        <f>TRIM(Raw_Data!C24)</f>
        <v>8/12/2025, 9:08:54 AM</v>
      </c>
      <c r="D24" t="str">
        <f>TRIM(Raw_Data!D24)</f>
        <v>SMED0000000377</v>
      </c>
      <c r="E24" t="str">
        <f>TRIM(Raw_Data!E24)</f>
        <v>6936484eef53c64bd05830eb</v>
      </c>
      <c r="F24">
        <v>10950</v>
      </c>
      <c r="G24">
        <v>10952.36</v>
      </c>
      <c r="H24" t="str">
        <f>TRIM(Raw_Data!H24)</f>
        <v>upi</v>
      </c>
      <c r="I24" t="str">
        <f>TRIM(Raw_Data!I24)</f>
        <v>-</v>
      </c>
      <c r="J24" t="str">
        <f>TRIM(Raw_Data!J24)</f>
        <v>SUCCESS</v>
      </c>
      <c r="K24" t="str">
        <f>TRIM(Raw_Data!K24)</f>
        <v>SHANAYA CHIRANIA</v>
      </c>
      <c r="L24" t="str">
        <f>TRIM(Raw_Data!L24)</f>
        <v/>
      </c>
      <c r="M24" t="str">
        <f>TRIM(Raw_Data!M24)</f>
        <v>NA</v>
      </c>
      <c r="N24" t="str">
        <f>TRIM(Raw_Data!N24)</f>
        <v>EDVIRON_EASEBUZZ</v>
      </c>
      <c r="O24" t="str">
        <f>TRIM(Raw_Data!O24)</f>
        <v/>
      </c>
      <c r="P24">
        <v>2</v>
      </c>
      <c r="Q24" t="str">
        <f>TRIM(Raw_Data!Q24)</f>
        <v>FLAT</v>
      </c>
      <c r="R24">
        <v>2</v>
      </c>
      <c r="S24" t="str">
        <f>TRIM(Raw_Data!S24)</f>
        <v>FLAT</v>
      </c>
      <c r="T24">
        <v>0</v>
      </c>
      <c r="U24" t="str">
        <f>TRIM(Raw_Data!U24)</f>
        <v>FLAT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25">
      <c r="A25" t="str">
        <f>TRIM(Raw_Data!A25)</f>
        <v>14</v>
      </c>
      <c r="B25" t="str">
        <f>TRIM(Raw_Data!B25)</f>
        <v>ST MICHAEL'S SCHOOL FOR GIRLS</v>
      </c>
      <c r="C25" t="str">
        <f>TRIM(Raw_Data!C25)</f>
        <v>8/12/2025, 12:28:54 PM</v>
      </c>
      <c r="D25" t="str">
        <f>TRIM(Raw_Data!D25)</f>
        <v>SMED0000000380</v>
      </c>
      <c r="E25" t="str">
        <f>TRIM(Raw_Data!E25)</f>
        <v>6936772e10c404549b6eb695</v>
      </c>
      <c r="F25">
        <v>34325</v>
      </c>
      <c r="G25">
        <v>34327.360000000001</v>
      </c>
      <c r="H25" t="str">
        <f>TRIM(Raw_Data!H25)</f>
        <v>upi</v>
      </c>
      <c r="I25" t="str">
        <f>TRIM(Raw_Data!I25)</f>
        <v>Others</v>
      </c>
      <c r="J25" t="str">
        <f>TRIM(Raw_Data!J25)</f>
        <v>SUCCESS</v>
      </c>
      <c r="K25" t="str">
        <f>TRIM(Raw_Data!K25)</f>
        <v>ISHANVI PRADHAN</v>
      </c>
      <c r="L25" t="str">
        <f>TRIM(Raw_Data!L25)</f>
        <v/>
      </c>
      <c r="M25" t="str">
        <f>TRIM(Raw_Data!M25)</f>
        <v>NA</v>
      </c>
      <c r="N25" t="str">
        <f>TRIM(Raw_Data!N25)</f>
        <v>EDVIRON_EASEBUZZ</v>
      </c>
      <c r="O25" t="str">
        <f>TRIM(Raw_Data!O25)</f>
        <v/>
      </c>
      <c r="P25">
        <v>2</v>
      </c>
      <c r="Q25" t="str">
        <f>TRIM(Raw_Data!Q25)</f>
        <v>FLAT</v>
      </c>
      <c r="R25">
        <v>2</v>
      </c>
      <c r="S25" t="str">
        <f>TRIM(Raw_Data!S25)</f>
        <v>FLAT</v>
      </c>
      <c r="T25">
        <v>0</v>
      </c>
      <c r="U25" t="str">
        <f>TRIM(Raw_Data!U25)</f>
        <v>FLAT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25">
      <c r="A26" t="str">
        <f>TRIM(Raw_Data!A26)</f>
        <v>15</v>
      </c>
      <c r="B26" t="str">
        <f>TRIM(Raw_Data!B26)</f>
        <v>ST MICHAEL'S SCHOOL FOR GIRLS</v>
      </c>
      <c r="C26" t="str">
        <f>TRIM(Raw_Data!C26)</f>
        <v>9/12/2025, 12:46:20 PM</v>
      </c>
      <c r="D26" t="str">
        <f>TRIM(Raw_Data!D26)</f>
        <v>SMED0000000381</v>
      </c>
      <c r="E26" t="str">
        <f>TRIM(Raw_Data!E26)</f>
        <v>6937ccc4fab6ff5b0ed38339</v>
      </c>
      <c r="F26">
        <v>34325</v>
      </c>
      <c r="G26">
        <v>34327.360000000001</v>
      </c>
      <c r="H26" t="str">
        <f>TRIM(Raw_Data!H26)</f>
        <v>upi</v>
      </c>
      <c r="I26" t="str">
        <f>TRIM(Raw_Data!I26)</f>
        <v>-</v>
      </c>
      <c r="J26" t="str">
        <f>TRIM(Raw_Data!J26)</f>
        <v>SUCCESS</v>
      </c>
      <c r="K26" t="str">
        <f>TRIM(Raw_Data!K26)</f>
        <v>RUDRANI SENGUPTA</v>
      </c>
      <c r="L26" t="str">
        <f>TRIM(Raw_Data!L26)</f>
        <v/>
      </c>
      <c r="M26" t="str">
        <f>TRIM(Raw_Data!M26)</f>
        <v>NA</v>
      </c>
      <c r="N26" t="str">
        <f>TRIM(Raw_Data!N26)</f>
        <v>EDVIRON_EASEBUZZ</v>
      </c>
      <c r="O26" t="str">
        <f>TRIM(Raw_Data!O26)</f>
        <v/>
      </c>
      <c r="P26">
        <v>2</v>
      </c>
      <c r="Q26" t="str">
        <f>TRIM(Raw_Data!Q26)</f>
        <v>FLAT</v>
      </c>
      <c r="R26">
        <v>2</v>
      </c>
      <c r="S26" t="str">
        <f>TRIM(Raw_Data!S26)</f>
        <v>FLAT</v>
      </c>
      <c r="T26">
        <v>0</v>
      </c>
      <c r="U26" t="str">
        <f>TRIM(Raw_Data!U26)</f>
        <v>FLAT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25">
      <c r="A27" t="str">
        <f>TRIM(Raw_Data!A27)</f>
        <v>18</v>
      </c>
      <c r="B27" t="str">
        <f>TRIM(Raw_Data!B27)</f>
        <v>ST MICHAEL'S SCHOOL FOR GIRLS</v>
      </c>
      <c r="C27" t="str">
        <f>TRIM(Raw_Data!C27)</f>
        <v>13/12/2025, 10:23:18 am</v>
      </c>
      <c r="D27" t="str">
        <f>TRIM(Raw_Data!D27)</f>
        <v>SMED0000000391</v>
      </c>
      <c r="E27" t="str">
        <f>TRIM(Raw_Data!E27)</f>
        <v>693cf13e7dc8450efa2e354d</v>
      </c>
      <c r="F27">
        <v>10350</v>
      </c>
      <c r="G27">
        <v>10352.36</v>
      </c>
      <c r="H27" t="str">
        <f>TRIM(Raw_Data!H27)</f>
        <v>upi</v>
      </c>
      <c r="I27" t="str">
        <f>TRIM(Raw_Data!I27)</f>
        <v>Others</v>
      </c>
      <c r="J27" t="str">
        <f>TRIM(Raw_Data!J27)</f>
        <v>success</v>
      </c>
      <c r="K27" t="str">
        <f>TRIM(Raw_Data!K27)</f>
        <v>SANBI HALDER</v>
      </c>
      <c r="L27" t="str">
        <f>TRIM(Raw_Data!L27)</f>
        <v/>
      </c>
      <c r="M27" t="str">
        <f>TRIM(Raw_Data!M27)</f>
        <v>NA</v>
      </c>
      <c r="N27" t="str">
        <f>TRIM(Raw_Data!N27)</f>
        <v>EDVIRON_EASEBUZZ</v>
      </c>
      <c r="O27" t="str">
        <f>TRIM(Raw_Data!O27)</f>
        <v/>
      </c>
      <c r="P27">
        <v>2</v>
      </c>
      <c r="Q27" t="str">
        <f>TRIM(Raw_Data!Q27)</f>
        <v>FLAT</v>
      </c>
      <c r="R27">
        <v>2</v>
      </c>
      <c r="S27" t="str">
        <f>TRIM(Raw_Data!S27)</f>
        <v>FLAT</v>
      </c>
      <c r="T27">
        <v>0</v>
      </c>
      <c r="U27" t="str">
        <f>TRIM(Raw_Data!U27)</f>
        <v>FLAT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25">
      <c r="A28" t="str">
        <f>TRIM(Raw_Data!A28)</f>
        <v>19</v>
      </c>
      <c r="B28" t="str">
        <f>TRIM(Raw_Data!B28)</f>
        <v>ST MICHAEL'S SCHOOL FOR GIRLS</v>
      </c>
      <c r="C28" t="str">
        <f>TRIM(Raw_Data!C28)</f>
        <v>13/12/2025, 11:07:16 am</v>
      </c>
      <c r="D28" t="str">
        <f>TRIM(Raw_Data!D28)</f>
        <v>SMED0000000395</v>
      </c>
      <c r="E28" t="str">
        <f>TRIM(Raw_Data!E28)</f>
        <v>693cfb8c7dc8450efa2e6e60</v>
      </c>
      <c r="F28">
        <v>34325</v>
      </c>
      <c r="G28">
        <v>34327.360000000001</v>
      </c>
      <c r="H28" t="str">
        <f>TRIM(Raw_Data!H28)</f>
        <v>upi</v>
      </c>
      <c r="I28" t="str">
        <f>TRIM(Raw_Data!I28)</f>
        <v>Others</v>
      </c>
      <c r="J28" t="str">
        <f>TRIM(Raw_Data!J28)</f>
        <v>success</v>
      </c>
      <c r="K28" t="str">
        <f>TRIM(Raw_Data!K28)</f>
        <v>KHUSI ROY</v>
      </c>
      <c r="L28" t="str">
        <f>TRIM(Raw_Data!L28)</f>
        <v/>
      </c>
      <c r="M28" t="str">
        <f>TRIM(Raw_Data!M28)</f>
        <v>NA</v>
      </c>
      <c r="N28" t="str">
        <f>TRIM(Raw_Data!N28)</f>
        <v>EDVIRON_EASEBUZZ</v>
      </c>
      <c r="O28" t="str">
        <f>TRIM(Raw_Data!O28)</f>
        <v/>
      </c>
      <c r="P28">
        <v>2</v>
      </c>
      <c r="Q28" t="str">
        <f>TRIM(Raw_Data!Q28)</f>
        <v>FLAT</v>
      </c>
      <c r="R28">
        <v>2</v>
      </c>
      <c r="S28" t="str">
        <f>TRIM(Raw_Data!S28)</f>
        <v>FLAT</v>
      </c>
      <c r="T28">
        <v>0</v>
      </c>
      <c r="U28" t="str">
        <f>TRIM(Raw_Data!U28)</f>
        <v>FLAT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25">
      <c r="A29" t="str">
        <f>TRIM(Raw_Data!A29)</f>
        <v>20</v>
      </c>
      <c r="B29" t="str">
        <f>TRIM(Raw_Data!B29)</f>
        <v>ST MICHAEL'S SCHOOL FOR GIRLS</v>
      </c>
      <c r="C29" t="str">
        <f>TRIM(Raw_Data!C29)</f>
        <v>15/12/2025, 2:08:52 pm</v>
      </c>
      <c r="D29" t="str">
        <f>TRIM(Raw_Data!D29)</f>
        <v>SMED0000000396</v>
      </c>
      <c r="E29" t="str">
        <f>TRIM(Raw_Data!E29)</f>
        <v>693fc91c7fde54e8f0f752ed</v>
      </c>
      <c r="F29">
        <v>10950</v>
      </c>
      <c r="G29">
        <v>10952.36</v>
      </c>
      <c r="H29" t="str">
        <f>TRIM(Raw_Data!H29)</f>
        <v>upi</v>
      </c>
      <c r="I29" t="str">
        <f>TRIM(Raw_Data!I29)</f>
        <v>Others</v>
      </c>
      <c r="J29" t="str">
        <f>TRIM(Raw_Data!J29)</f>
        <v>success</v>
      </c>
      <c r="K29" t="str">
        <f>TRIM(Raw_Data!K29)</f>
        <v>ALIZA KHAN</v>
      </c>
      <c r="L29" t="str">
        <f>TRIM(Raw_Data!L29)</f>
        <v/>
      </c>
      <c r="M29" t="str">
        <f>TRIM(Raw_Data!M29)</f>
        <v>NA</v>
      </c>
      <c r="N29" t="str">
        <f>TRIM(Raw_Data!N29)</f>
        <v>EDVIRON_EASEBUZZ</v>
      </c>
      <c r="O29" t="str">
        <f>TRIM(Raw_Data!O29)</f>
        <v/>
      </c>
      <c r="P29">
        <v>2</v>
      </c>
      <c r="Q29" t="str">
        <f>TRIM(Raw_Data!Q29)</f>
        <v>FLAT</v>
      </c>
      <c r="R29">
        <v>2</v>
      </c>
      <c r="S29" t="str">
        <f>TRIM(Raw_Data!S29)</f>
        <v>FLAT</v>
      </c>
      <c r="T29">
        <v>0</v>
      </c>
      <c r="U29" t="str">
        <f>TRIM(Raw_Data!U29)</f>
        <v>FLAT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25">
      <c r="A30" t="str">
        <f>TRIM(Raw_Data!A30)</f>
        <v>21</v>
      </c>
      <c r="B30" t="str">
        <f>TRIM(Raw_Data!B30)</f>
        <v>ST MICHAEL'S SCHOOL FOR GIRLS</v>
      </c>
      <c r="C30" t="str">
        <f>TRIM(Raw_Data!C30)</f>
        <v>19/12/2025, 2:48:47 pm</v>
      </c>
      <c r="D30" t="str">
        <f>TRIM(Raw_Data!D30)</f>
        <v>SMED0000000400</v>
      </c>
      <c r="E30" t="str">
        <f>TRIM(Raw_Data!E30)</f>
        <v>69451877cded364e3f821dbc</v>
      </c>
      <c r="F30">
        <v>34325</v>
      </c>
      <c r="G30">
        <v>34327.360000000001</v>
      </c>
      <c r="H30" t="str">
        <f>TRIM(Raw_Data!H30)</f>
        <v>upi</v>
      </c>
      <c r="I30" t="str">
        <f>TRIM(Raw_Data!I30)</f>
        <v>Others</v>
      </c>
      <c r="J30" t="str">
        <f>TRIM(Raw_Data!J30)</f>
        <v>success</v>
      </c>
      <c r="K30" t="str">
        <f>TRIM(Raw_Data!K30)</f>
        <v>ANU PRIYA</v>
      </c>
      <c r="L30" t="str">
        <f>TRIM(Raw_Data!L30)</f>
        <v/>
      </c>
      <c r="M30" t="str">
        <f>TRIM(Raw_Data!M30)</f>
        <v>NA</v>
      </c>
      <c r="N30" t="str">
        <f>TRIM(Raw_Data!N30)</f>
        <v>EDVIRON_EASEBUZZ</v>
      </c>
      <c r="O30" t="str">
        <f>TRIM(Raw_Data!O30)</f>
        <v/>
      </c>
      <c r="P30">
        <v>2</v>
      </c>
      <c r="Q30" t="str">
        <f>TRIM(Raw_Data!Q30)</f>
        <v>FLAT</v>
      </c>
      <c r="R30">
        <v>2</v>
      </c>
      <c r="S30" t="str">
        <f>TRIM(Raw_Data!S30)</f>
        <v>FLAT</v>
      </c>
      <c r="T30">
        <v>0</v>
      </c>
      <c r="U30" t="str">
        <f>TRIM(Raw_Data!U30)</f>
        <v>FLAT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25">
      <c r="A31" t="str">
        <f>TRIM(Raw_Data!A31)</f>
        <v>22</v>
      </c>
      <c r="B31" t="str">
        <f>TRIM(Raw_Data!B31)</f>
        <v>ST MICHAEL'S SCHOOL FOR GIRLS</v>
      </c>
      <c r="C31" t="str">
        <f>TRIM(Raw_Data!C31)</f>
        <v>19/12/2025, 3:36:26 pm</v>
      </c>
      <c r="D31" t="str">
        <f>TRIM(Raw_Data!D31)</f>
        <v>SMED0000000402</v>
      </c>
      <c r="E31" t="str">
        <f>TRIM(Raw_Data!E31)</f>
        <v>694523a2cded364e3f8240d1</v>
      </c>
      <c r="F31">
        <v>72450</v>
      </c>
      <c r="G31">
        <v>72452.36</v>
      </c>
      <c r="H31" t="str">
        <f>TRIM(Raw_Data!H31)</f>
        <v>upi</v>
      </c>
      <c r="I31" t="str">
        <f>TRIM(Raw_Data!I31)</f>
        <v>Others</v>
      </c>
      <c r="J31" t="str">
        <f>TRIM(Raw_Data!J31)</f>
        <v>success</v>
      </c>
      <c r="K31" t="str">
        <f>TRIM(Raw_Data!K31)</f>
        <v>TRISIKHA DEBNATH</v>
      </c>
      <c r="L31" t="str">
        <f>TRIM(Raw_Data!L31)</f>
        <v/>
      </c>
      <c r="M31" t="str">
        <f>TRIM(Raw_Data!M31)</f>
        <v>NA</v>
      </c>
      <c r="N31" t="str">
        <f>TRIM(Raw_Data!N31)</f>
        <v>EDVIRON_EASEBUZZ</v>
      </c>
      <c r="O31" t="str">
        <f>TRIM(Raw_Data!O31)</f>
        <v/>
      </c>
      <c r="P31">
        <v>2</v>
      </c>
      <c r="Q31" t="str">
        <f>TRIM(Raw_Data!Q31)</f>
        <v>FLAT</v>
      </c>
      <c r="R31">
        <v>2</v>
      </c>
      <c r="S31" t="str">
        <f>TRIM(Raw_Data!S31)</f>
        <v>FLAT</v>
      </c>
      <c r="T31">
        <v>0</v>
      </c>
      <c r="U31" t="str">
        <f>TRIM(Raw_Data!U31)</f>
        <v>FLAT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25">
      <c r="A32" t="str">
        <f>TRIM(Raw_Data!A32)</f>
        <v>23</v>
      </c>
      <c r="B32" t="str">
        <f>TRIM(Raw_Data!B32)</f>
        <v>ST MICHAEL'S SCHOOL FOR GIRLS</v>
      </c>
      <c r="C32" t="str">
        <f>TRIM(Raw_Data!C32)</f>
        <v>19/12/2025, 6:19:15 pm</v>
      </c>
      <c r="D32" t="str">
        <f>TRIM(Raw_Data!D32)</f>
        <v>SMED0000000403</v>
      </c>
      <c r="E32" t="str">
        <f>TRIM(Raw_Data!E32)</f>
        <v>694549cbcded364e3f82cee1</v>
      </c>
      <c r="F32">
        <v>74150</v>
      </c>
      <c r="G32">
        <v>74152.36</v>
      </c>
      <c r="H32" t="str">
        <f>TRIM(Raw_Data!H32)</f>
        <v>upi</v>
      </c>
      <c r="I32" t="str">
        <f>TRIM(Raw_Data!I32)</f>
        <v>Others</v>
      </c>
      <c r="J32" t="str">
        <f>TRIM(Raw_Data!J32)</f>
        <v>success</v>
      </c>
      <c r="K32" t="str">
        <f>TRIM(Raw_Data!K32)</f>
        <v>AADYA GUPTA</v>
      </c>
      <c r="L32" t="str">
        <f>TRIM(Raw_Data!L32)</f>
        <v/>
      </c>
      <c r="M32" t="str">
        <f>TRIM(Raw_Data!M32)</f>
        <v>NA</v>
      </c>
      <c r="N32" t="str">
        <f>TRIM(Raw_Data!N32)</f>
        <v>EDVIRON_EASEBUZZ</v>
      </c>
      <c r="O32" t="str">
        <f>TRIM(Raw_Data!O32)</f>
        <v/>
      </c>
      <c r="P32">
        <v>2</v>
      </c>
      <c r="Q32" t="str">
        <f>TRIM(Raw_Data!Q32)</f>
        <v>FLAT</v>
      </c>
      <c r="R32">
        <v>2</v>
      </c>
      <c r="S32" t="str">
        <f>TRIM(Raw_Data!S32)</f>
        <v>FLAT</v>
      </c>
      <c r="T32">
        <v>0</v>
      </c>
      <c r="U32" t="str">
        <f>TRIM(Raw_Data!U32)</f>
        <v>FLAT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25">
      <c r="A33" t="str">
        <f>TRIM(Raw_Data!A33)</f>
        <v>24</v>
      </c>
      <c r="B33" t="str">
        <f>TRIM(Raw_Data!B33)</f>
        <v>ST MICHAEL'S SCHOOL FOR GIRLS</v>
      </c>
      <c r="C33" t="str">
        <f>TRIM(Raw_Data!C33)</f>
        <v>26/12/2025, 1:28:01 pm</v>
      </c>
      <c r="D33" t="str">
        <f>TRIM(Raw_Data!D33)</f>
        <v>SMED0000000406</v>
      </c>
      <c r="E33" t="str">
        <f>TRIM(Raw_Data!E33)</f>
        <v>694e40094a6460a709bf8467</v>
      </c>
      <c r="F33">
        <v>36100</v>
      </c>
      <c r="G33">
        <v>36102.36</v>
      </c>
      <c r="H33" t="str">
        <f>TRIM(Raw_Data!H33)</f>
        <v>upi</v>
      </c>
      <c r="I33" t="str">
        <f>TRIM(Raw_Data!I33)</f>
        <v>Others</v>
      </c>
      <c r="J33" t="str">
        <f>TRIM(Raw_Data!J33)</f>
        <v>success</v>
      </c>
      <c r="K33" t="str">
        <f>TRIM(Raw_Data!K33)</f>
        <v>GITASHRI MAHATO</v>
      </c>
      <c r="L33" t="str">
        <f>TRIM(Raw_Data!L33)</f>
        <v/>
      </c>
      <c r="M33" t="str">
        <f>TRIM(Raw_Data!M33)</f>
        <v>NA</v>
      </c>
      <c r="N33" t="str">
        <f>TRIM(Raw_Data!N33)</f>
        <v>EDVIRON_EASEBUZZ</v>
      </c>
      <c r="O33" t="str">
        <f>TRIM(Raw_Data!O33)</f>
        <v/>
      </c>
      <c r="P33">
        <v>2</v>
      </c>
      <c r="Q33" t="str">
        <f>TRIM(Raw_Data!Q33)</f>
        <v>FLAT</v>
      </c>
      <c r="R33">
        <v>2</v>
      </c>
      <c r="S33" t="str">
        <f>TRIM(Raw_Data!S33)</f>
        <v>FLAT</v>
      </c>
      <c r="T33">
        <v>0</v>
      </c>
      <c r="U33" t="str">
        <f>TRIM(Raw_Data!U33)</f>
        <v>FLAT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25">
      <c r="A34" t="str">
        <f>TRIM(Raw_Data!A34)</f>
        <v>25</v>
      </c>
      <c r="B34" t="str">
        <f>TRIM(Raw_Data!B34)</f>
        <v>ST MICHAEL'S SCHOOL FOR GIRLS</v>
      </c>
      <c r="C34" t="str">
        <f>TRIM(Raw_Data!C34)</f>
        <v>1/1/2026, 12:15:40 PM</v>
      </c>
      <c r="D34" t="str">
        <f>TRIM(Raw_Data!D34)</f>
        <v>SMED0000000415</v>
      </c>
      <c r="E34" t="str">
        <f>TRIM(Raw_Data!E34)</f>
        <v>6956181407081d7fb6ab744a</v>
      </c>
      <c r="F34">
        <v>72150</v>
      </c>
      <c r="G34">
        <v>72152.36</v>
      </c>
      <c r="H34" t="str">
        <f>TRIM(Raw_Data!H34)</f>
        <v>upi</v>
      </c>
      <c r="I34" t="str">
        <f>TRIM(Raw_Data!I34)</f>
        <v>Others</v>
      </c>
      <c r="J34" t="str">
        <f>TRIM(Raw_Data!J34)</f>
        <v>success</v>
      </c>
      <c r="K34" t="str">
        <f>TRIM(Raw_Data!K34)</f>
        <v>SONAL KEDIA</v>
      </c>
      <c r="L34" t="str">
        <f>TRIM(Raw_Data!L34)</f>
        <v/>
      </c>
      <c r="M34" t="str">
        <f>TRIM(Raw_Data!M34)</f>
        <v>NA</v>
      </c>
      <c r="N34" t="str">
        <f>TRIM(Raw_Data!N34)</f>
        <v>EDVIRON_EASEBUZZ</v>
      </c>
      <c r="O34" t="str">
        <f>TRIM(Raw_Data!O34)</f>
        <v/>
      </c>
      <c r="P34">
        <v>2</v>
      </c>
      <c r="Q34" t="str">
        <f>TRIM(Raw_Data!Q34)</f>
        <v>FLAT</v>
      </c>
      <c r="R34">
        <v>2</v>
      </c>
      <c r="S34" t="str">
        <f>TRIM(Raw_Data!S34)</f>
        <v>FLAT</v>
      </c>
      <c r="T34">
        <v>0</v>
      </c>
      <c r="U34" t="str">
        <f>TRIM(Raw_Data!U34)</f>
        <v>FLAT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25">
      <c r="A35" t="str">
        <f>TRIM(Raw_Data!A35)</f>
        <v>27</v>
      </c>
      <c r="B35" t="str">
        <f>TRIM(Raw_Data!B35)</f>
        <v>ST MICHAEL'S SCHOOL FOR GIRLS</v>
      </c>
      <c r="C35" t="str">
        <f>TRIM(Raw_Data!C35)</f>
        <v>16/1/2026, 12:56:58 pm</v>
      </c>
      <c r="D35" t="str">
        <f>TRIM(Raw_Data!D35)</f>
        <v>SMED0000000439</v>
      </c>
      <c r="E35" t="str">
        <f>TRIM(Raw_Data!E35)</f>
        <v>6969e84235a8e67a2c342c09</v>
      </c>
      <c r="F35">
        <v>10950</v>
      </c>
      <c r="G35">
        <v>10952.36</v>
      </c>
      <c r="H35" t="str">
        <f>TRIM(Raw_Data!H35)</f>
        <v>upi</v>
      </c>
      <c r="I35" t="str">
        <f>TRIM(Raw_Data!I35)</f>
        <v>Others</v>
      </c>
      <c r="J35" t="str">
        <f>TRIM(Raw_Data!J35)</f>
        <v>success</v>
      </c>
      <c r="K35" t="str">
        <f>TRIM(Raw_Data!K35)</f>
        <v>BIDITA SARKAR</v>
      </c>
      <c r="L35" t="str">
        <f>TRIM(Raw_Data!L35)</f>
        <v/>
      </c>
      <c r="M35" t="str">
        <f>TRIM(Raw_Data!M35)</f>
        <v>NA</v>
      </c>
      <c r="N35" t="str">
        <f>TRIM(Raw_Data!N35)</f>
        <v>EDVIRON_EASEBUZZ</v>
      </c>
      <c r="O35" t="str">
        <f>TRIM(Raw_Data!O35)</f>
        <v/>
      </c>
      <c r="P35">
        <v>2</v>
      </c>
      <c r="Q35" t="str">
        <f>TRIM(Raw_Data!Q35)</f>
        <v>FLAT</v>
      </c>
      <c r="R35">
        <v>2</v>
      </c>
      <c r="S35" t="str">
        <f>TRIM(Raw_Data!S35)</f>
        <v>FLAT</v>
      </c>
      <c r="T35">
        <v>0</v>
      </c>
      <c r="U35" t="str">
        <f>TRIM(Raw_Data!U35)</f>
        <v>FLAT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25">
      <c r="A36" t="str">
        <f>TRIM(Raw_Data!A36)</f>
        <v>28</v>
      </c>
      <c r="B36" t="str">
        <f>TRIM(Raw_Data!B36)</f>
        <v>ST MICHAEL'S SCHOOL FOR GIRLS</v>
      </c>
      <c r="C36" t="str">
        <f>TRIM(Raw_Data!C36)</f>
        <v>21/1/2026, 9:17:14 pm</v>
      </c>
      <c r="D36" t="str">
        <f>TRIM(Raw_Data!D36)</f>
        <v>SMED0000000453</v>
      </c>
      <c r="E36" t="str">
        <f>TRIM(Raw_Data!E36)</f>
        <v>6970f5028b01c1a52bceaea6</v>
      </c>
      <c r="F36">
        <v>10350</v>
      </c>
      <c r="G36">
        <v>10352.36</v>
      </c>
      <c r="H36" t="str">
        <f>TRIM(Raw_Data!H36)</f>
        <v>upi</v>
      </c>
      <c r="I36" t="str">
        <f>TRIM(Raw_Data!I36)</f>
        <v>Others</v>
      </c>
      <c r="J36" t="str">
        <f>TRIM(Raw_Data!J36)</f>
        <v>success</v>
      </c>
      <c r="K36" t="str">
        <f>TRIM(Raw_Data!K36)</f>
        <v>TRISHA SAHA</v>
      </c>
      <c r="L36" t="str">
        <f>TRIM(Raw_Data!L36)</f>
        <v/>
      </c>
      <c r="M36" t="str">
        <f>TRIM(Raw_Data!M36)</f>
        <v>NA</v>
      </c>
      <c r="N36" t="str">
        <f>TRIM(Raw_Data!N36)</f>
        <v>EDVIRON_EASEBUZZ</v>
      </c>
      <c r="O36" t="str">
        <f>TRIM(Raw_Data!O36)</f>
        <v/>
      </c>
      <c r="P36">
        <v>2</v>
      </c>
      <c r="Q36" t="str">
        <f>TRIM(Raw_Data!Q36)</f>
        <v>FLAT</v>
      </c>
      <c r="R36">
        <v>2</v>
      </c>
      <c r="S36" t="str">
        <f>TRIM(Raw_Data!S36)</f>
        <v>FLAT</v>
      </c>
      <c r="T36">
        <v>0</v>
      </c>
      <c r="U36" t="str">
        <f>TRIM(Raw_Data!U36)</f>
        <v>FLAT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25">
      <c r="A37" t="str">
        <f>TRIM(Raw_Data!A37)</f>
        <v>29</v>
      </c>
      <c r="B37" t="str">
        <f>TRIM(Raw_Data!B37)</f>
        <v>ST MICHAEL'S SCHOOL FOR GIRLS</v>
      </c>
      <c r="C37" t="str">
        <f>TRIM(Raw_Data!C37)</f>
        <v>22/1/2026, 3:45:52 pm</v>
      </c>
      <c r="D37" t="str">
        <f>TRIM(Raw_Data!D37)</f>
        <v>SMED0000000454</v>
      </c>
      <c r="E37" t="str">
        <f>TRIM(Raw_Data!E37)</f>
        <v>6971f8d8595909a602bf52cc</v>
      </c>
      <c r="F37">
        <v>34325</v>
      </c>
      <c r="G37">
        <v>34327.360000000001</v>
      </c>
      <c r="H37" t="str">
        <f>TRIM(Raw_Data!H37)</f>
        <v>upi</v>
      </c>
      <c r="I37" t="str">
        <f>TRIM(Raw_Data!I37)</f>
        <v>Others</v>
      </c>
      <c r="J37" t="str">
        <f>TRIM(Raw_Data!J37)</f>
        <v>success</v>
      </c>
      <c r="K37" t="str">
        <f>TRIM(Raw_Data!K37)</f>
        <v>TONUSHREE SAHA</v>
      </c>
      <c r="L37" t="str">
        <f>TRIM(Raw_Data!L37)</f>
        <v/>
      </c>
      <c r="M37" t="str">
        <f>TRIM(Raw_Data!M37)</f>
        <v>NA</v>
      </c>
      <c r="N37" t="str">
        <f>TRIM(Raw_Data!N37)</f>
        <v>EDVIRON_EASEBUZZ</v>
      </c>
      <c r="O37" t="str">
        <f>TRIM(Raw_Data!O37)</f>
        <v/>
      </c>
      <c r="P37">
        <v>2</v>
      </c>
      <c r="Q37" t="str">
        <f>TRIM(Raw_Data!Q37)</f>
        <v>FLAT</v>
      </c>
      <c r="R37">
        <v>2</v>
      </c>
      <c r="S37" t="str">
        <f>TRIM(Raw_Data!S37)</f>
        <v>FLAT</v>
      </c>
      <c r="T37">
        <v>0</v>
      </c>
      <c r="U37" t="str">
        <f>TRIM(Raw_Data!U37)</f>
        <v>FLAT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25">
      <c r="A38" t="str">
        <f>TRIM(Raw_Data!A38)</f>
        <v>30</v>
      </c>
      <c r="B38" t="str">
        <f>TRIM(Raw_Data!B38)</f>
        <v>ST MICHAEL'S SCHOOL FOR GIRLS</v>
      </c>
      <c r="C38" t="str">
        <f>TRIM(Raw_Data!C38)</f>
        <v>29/1/2026, 9:34:31 pm</v>
      </c>
      <c r="D38" t="str">
        <f>TRIM(Raw_Data!D38)</f>
        <v>SMED0000000460</v>
      </c>
      <c r="E38" t="str">
        <f>TRIM(Raw_Data!E38)</f>
        <v>697b850f0a91fbff417eab30</v>
      </c>
      <c r="F38">
        <v>34325</v>
      </c>
      <c r="G38">
        <v>34327.360000000001</v>
      </c>
      <c r="H38" t="str">
        <f>TRIM(Raw_Data!H38)</f>
        <v>upi</v>
      </c>
      <c r="I38" t="str">
        <f>TRIM(Raw_Data!I38)</f>
        <v>Others</v>
      </c>
      <c r="J38" t="str">
        <f>TRIM(Raw_Data!J38)</f>
        <v>success</v>
      </c>
      <c r="K38" t="str">
        <f>TRIM(Raw_Data!K38)</f>
        <v>AADHYA DAS</v>
      </c>
      <c r="L38" t="str">
        <f>TRIM(Raw_Data!L38)</f>
        <v/>
      </c>
      <c r="M38" t="str">
        <f>TRIM(Raw_Data!M38)</f>
        <v>NA</v>
      </c>
      <c r="N38" t="str">
        <f>TRIM(Raw_Data!N38)</f>
        <v>EDVIRON_EASEBUZZ</v>
      </c>
      <c r="O38" t="str">
        <f>TRIM(Raw_Data!O38)</f>
        <v/>
      </c>
      <c r="P38">
        <v>2</v>
      </c>
      <c r="Q38" t="str">
        <f>TRIM(Raw_Data!Q38)</f>
        <v>FLAT</v>
      </c>
      <c r="R38">
        <v>2</v>
      </c>
      <c r="S38" t="str">
        <f>TRIM(Raw_Data!S38)</f>
        <v>FLAT</v>
      </c>
      <c r="T38">
        <v>0</v>
      </c>
      <c r="U38" t="str">
        <f>TRIM(Raw_Data!U38)</f>
        <v>FLAT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25">
      <c r="A39" t="str">
        <f>TRIM(Raw_Data!A39)</f>
        <v/>
      </c>
      <c r="B39">
        <v>0</v>
      </c>
      <c r="C39">
        <v>0</v>
      </c>
      <c r="D39">
        <v>0</v>
      </c>
      <c r="E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Q39">
        <v>0</v>
      </c>
      <c r="S39">
        <v>0</v>
      </c>
      <c r="U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25">
      <c r="A40" t="str">
        <f>TRIM(Raw_Data!A40)</f>
        <v/>
      </c>
      <c r="B40">
        <v>0</v>
      </c>
      <c r="C40">
        <v>0</v>
      </c>
      <c r="D40">
        <v>0</v>
      </c>
      <c r="E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Q40">
        <v>0</v>
      </c>
      <c r="S40">
        <v>0</v>
      </c>
      <c r="U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25">
      <c r="A41" t="str">
        <f>TRIM(Raw_Data!A41)</f>
        <v/>
      </c>
      <c r="B41">
        <v>0</v>
      </c>
      <c r="C41">
        <v>0</v>
      </c>
      <c r="D41">
        <v>0</v>
      </c>
      <c r="E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Q41">
        <v>0</v>
      </c>
      <c r="S41">
        <v>0</v>
      </c>
      <c r="U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25">
      <c r="A42" t="str">
        <f>TRIM(Raw_Data!A42)</f>
        <v/>
      </c>
      <c r="B42">
        <v>0</v>
      </c>
      <c r="C42">
        <v>0</v>
      </c>
      <c r="D42">
        <v>0</v>
      </c>
      <c r="E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Q42">
        <v>0</v>
      </c>
      <c r="S42">
        <v>0</v>
      </c>
      <c r="U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25">
      <c r="A43" t="str">
        <f>TRIM(Raw_Data!A43)</f>
        <v/>
      </c>
      <c r="B43">
        <v>0</v>
      </c>
      <c r="C43">
        <v>0</v>
      </c>
      <c r="D43">
        <v>0</v>
      </c>
      <c r="E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Q43">
        <v>0</v>
      </c>
      <c r="S43">
        <v>0</v>
      </c>
      <c r="U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25">
      <c r="A44" t="str">
        <f>TRIM(Raw_Data!A44)</f>
        <v/>
      </c>
      <c r="B44">
        <v>0</v>
      </c>
      <c r="C44">
        <v>0</v>
      </c>
      <c r="D44">
        <v>0</v>
      </c>
      <c r="E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Q44">
        <v>0</v>
      </c>
      <c r="S44">
        <v>0</v>
      </c>
      <c r="U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25">
      <c r="A45" t="str">
        <f>TRIM(Raw_Data!A45)</f>
        <v/>
      </c>
      <c r="B45">
        <v>0</v>
      </c>
      <c r="C45">
        <v>0</v>
      </c>
      <c r="D45">
        <v>0</v>
      </c>
      <c r="E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Q45">
        <v>0</v>
      </c>
      <c r="S45">
        <v>0</v>
      </c>
      <c r="U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25">
      <c r="A46" t="str">
        <f>TRIM(Raw_Data!A46)</f>
        <v/>
      </c>
      <c r="B46">
        <v>0</v>
      </c>
      <c r="C46">
        <v>0</v>
      </c>
      <c r="D46">
        <v>0</v>
      </c>
      <c r="E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Q46">
        <v>0</v>
      </c>
      <c r="S46">
        <v>0</v>
      </c>
      <c r="U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25">
      <c r="A47" t="str">
        <f>TRIM(Raw_Data!A47)</f>
        <v/>
      </c>
      <c r="B47">
        <v>0</v>
      </c>
      <c r="C47">
        <v>0</v>
      </c>
      <c r="D47">
        <v>0</v>
      </c>
      <c r="E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S47">
        <v>0</v>
      </c>
      <c r="U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25">
      <c r="A48" t="str">
        <f>TRIM(Raw_Data!A48)</f>
        <v/>
      </c>
      <c r="B48">
        <v>0</v>
      </c>
      <c r="C48">
        <v>0</v>
      </c>
      <c r="D48">
        <v>0</v>
      </c>
      <c r="E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Q48">
        <v>0</v>
      </c>
      <c r="S48">
        <v>0</v>
      </c>
      <c r="U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25">
      <c r="A49" t="str">
        <f>TRIM(Raw_Data!A49)</f>
        <v/>
      </c>
      <c r="B49">
        <v>0</v>
      </c>
      <c r="C49">
        <v>0</v>
      </c>
      <c r="D49">
        <v>0</v>
      </c>
      <c r="E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Q49">
        <v>0</v>
      </c>
      <c r="S49">
        <v>0</v>
      </c>
      <c r="U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25">
      <c r="A50" t="str">
        <f>TRIM(Raw_Data!A50)</f>
        <v/>
      </c>
      <c r="B50">
        <v>0</v>
      </c>
      <c r="C50">
        <v>0</v>
      </c>
      <c r="D50">
        <v>0</v>
      </c>
      <c r="E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Q50">
        <v>0</v>
      </c>
      <c r="S50">
        <v>0</v>
      </c>
      <c r="U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25">
      <c r="A51" t="str">
        <f>TRIM(Raw_Data!A51)</f>
        <v/>
      </c>
      <c r="B51">
        <v>0</v>
      </c>
      <c r="C51">
        <v>0</v>
      </c>
      <c r="D51">
        <v>0</v>
      </c>
      <c r="E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Q51">
        <v>0</v>
      </c>
      <c r="S51">
        <v>0</v>
      </c>
      <c r="U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25">
      <c r="A52" t="str">
        <f>TRIM(Raw_Data!A52)</f>
        <v/>
      </c>
      <c r="B52">
        <v>0</v>
      </c>
      <c r="C52">
        <v>0</v>
      </c>
      <c r="D52">
        <v>0</v>
      </c>
      <c r="E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Q52">
        <v>0</v>
      </c>
      <c r="S52">
        <v>0</v>
      </c>
      <c r="U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25">
      <c r="A53" t="str">
        <f>TRIM(Raw_Data!A53)</f>
        <v/>
      </c>
      <c r="B53">
        <v>0</v>
      </c>
      <c r="C53">
        <v>0</v>
      </c>
      <c r="D53">
        <v>0</v>
      </c>
      <c r="E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Q53">
        <v>0</v>
      </c>
      <c r="S53">
        <v>0</v>
      </c>
      <c r="U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25">
      <c r="A54" t="str">
        <f>TRIM(Raw_Data!A54)</f>
        <v/>
      </c>
      <c r="B54">
        <v>0</v>
      </c>
      <c r="C54">
        <v>0</v>
      </c>
      <c r="D54">
        <v>0</v>
      </c>
      <c r="E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Q54">
        <v>0</v>
      </c>
      <c r="S54">
        <v>0</v>
      </c>
      <c r="U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25">
      <c r="A55" t="str">
        <f>TRIM(Raw_Data!A55)</f>
        <v/>
      </c>
      <c r="B55">
        <v>0</v>
      </c>
      <c r="C55">
        <v>0</v>
      </c>
      <c r="D55">
        <v>0</v>
      </c>
      <c r="E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Q55">
        <v>0</v>
      </c>
      <c r="S55">
        <v>0</v>
      </c>
      <c r="U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25">
      <c r="A56" t="str">
        <f>TRIM(Raw_Data!A56)</f>
        <v/>
      </c>
      <c r="B56">
        <v>0</v>
      </c>
      <c r="C56">
        <v>0</v>
      </c>
      <c r="D56">
        <v>0</v>
      </c>
      <c r="E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Q56">
        <v>0</v>
      </c>
      <c r="S56">
        <v>0</v>
      </c>
      <c r="U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25">
      <c r="A57" t="str">
        <f>TRIM(Raw_Data!A57)</f>
        <v/>
      </c>
      <c r="B57">
        <v>0</v>
      </c>
      <c r="C57">
        <v>0</v>
      </c>
      <c r="D57">
        <v>0</v>
      </c>
      <c r="E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Q57">
        <v>0</v>
      </c>
      <c r="S57">
        <v>0</v>
      </c>
      <c r="U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25">
      <c r="A58" t="str">
        <f>TRIM(Raw_Data!A58)</f>
        <v/>
      </c>
      <c r="B58">
        <v>0</v>
      </c>
      <c r="C58">
        <v>0</v>
      </c>
      <c r="D58">
        <v>0</v>
      </c>
      <c r="E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Q58">
        <v>0</v>
      </c>
      <c r="S58">
        <v>0</v>
      </c>
      <c r="U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25">
      <c r="A59" t="str">
        <f>TRIM(Raw_Data!A59)</f>
        <v/>
      </c>
      <c r="B59">
        <v>0</v>
      </c>
      <c r="C59">
        <v>0</v>
      </c>
      <c r="D59">
        <v>0</v>
      </c>
      <c r="E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Q59">
        <v>0</v>
      </c>
      <c r="S59">
        <v>0</v>
      </c>
      <c r="U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25">
      <c r="A60" t="str">
        <f>TRIM(Raw_Data!A60)</f>
        <v/>
      </c>
      <c r="B60">
        <v>0</v>
      </c>
      <c r="C60">
        <v>0</v>
      </c>
      <c r="D60">
        <v>0</v>
      </c>
      <c r="E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Q60">
        <v>0</v>
      </c>
      <c r="S60">
        <v>0</v>
      </c>
      <c r="U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25">
      <c r="A61" t="str">
        <f>TRIM(Raw_Data!A61)</f>
        <v/>
      </c>
      <c r="B61">
        <v>0</v>
      </c>
      <c r="C61">
        <v>0</v>
      </c>
      <c r="D61">
        <v>0</v>
      </c>
      <c r="E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Q61">
        <v>0</v>
      </c>
      <c r="S61">
        <v>0</v>
      </c>
      <c r="U61">
        <v>0</v>
      </c>
      <c r="Y61">
        <v>0</v>
      </c>
      <c r="Z61">
        <v>0</v>
      </c>
      <c r="AA61">
        <v>0</v>
      </c>
      <c r="AB61">
        <v>0</v>
      </c>
      <c r="AC61">
        <v>0</v>
      </c>
    </row>
    <row r="62" spans="1:29" x14ac:dyDescent="0.25">
      <c r="A62" t="str">
        <f>TRIM(Raw_Data!A62)</f>
        <v/>
      </c>
      <c r="B62">
        <v>0</v>
      </c>
      <c r="C62">
        <v>0</v>
      </c>
      <c r="D62">
        <v>0</v>
      </c>
      <c r="E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Q62">
        <v>0</v>
      </c>
      <c r="S62">
        <v>0</v>
      </c>
      <c r="U62">
        <v>0</v>
      </c>
      <c r="Y62">
        <v>0</v>
      </c>
      <c r="Z62">
        <v>0</v>
      </c>
      <c r="AA62">
        <v>0</v>
      </c>
      <c r="AB62">
        <v>0</v>
      </c>
      <c r="AC6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E05C5-90D4-47B1-84C1-A0FBEE9D783A}">
  <dimension ref="A1:AD38"/>
  <sheetViews>
    <sheetView tabSelected="1" topLeftCell="W22" workbookViewId="0">
      <selection activeCell="AB48" sqref="AB48"/>
    </sheetView>
  </sheetViews>
  <sheetFormatPr defaultRowHeight="13.2" x14ac:dyDescent="0.25"/>
  <cols>
    <col min="1" max="1" width="25.6640625" customWidth="1"/>
    <col min="2" max="2" width="26.6640625" customWidth="1"/>
    <col min="3" max="3" width="35.44140625" customWidth="1"/>
    <col min="4" max="4" width="27.5546875" customWidth="1"/>
    <col min="5" max="5" width="26" customWidth="1"/>
    <col min="6" max="6" width="24.21875" customWidth="1"/>
    <col min="7" max="7" width="18.77734375" customWidth="1"/>
    <col min="8" max="8" width="21.5546875" customWidth="1"/>
    <col min="9" max="9" width="24.21875" customWidth="1"/>
    <col min="10" max="10" width="55.21875" customWidth="1"/>
    <col min="11" max="11" width="19.77734375" customWidth="1"/>
    <col min="12" max="12" width="21" customWidth="1"/>
    <col min="13" max="13" width="19.6640625" customWidth="1"/>
    <col min="14" max="14" width="20.77734375" customWidth="1"/>
    <col min="15" max="15" width="23.88671875" customWidth="1"/>
    <col min="16" max="16" width="18.109375" customWidth="1"/>
    <col min="17" max="17" width="21.5546875" customWidth="1"/>
    <col min="18" max="18" width="21" customWidth="1"/>
    <col min="19" max="19" width="22.77734375" customWidth="1"/>
    <col min="20" max="20" width="15.33203125" customWidth="1"/>
    <col min="21" max="21" width="19.6640625" customWidth="1"/>
    <col min="22" max="22" width="30.21875" customWidth="1"/>
    <col min="23" max="23" width="23.33203125" customWidth="1"/>
    <col min="24" max="24" width="28" customWidth="1"/>
    <col min="25" max="25" width="20.109375" customWidth="1"/>
    <col min="26" max="26" width="21.77734375" customWidth="1"/>
    <col min="27" max="27" width="20.5546875" customWidth="1"/>
    <col min="28" max="28" width="27.77734375" customWidth="1"/>
    <col min="29" max="29" width="22.21875" customWidth="1"/>
    <col min="30" max="30" width="33.6640625" customWidth="1"/>
  </cols>
  <sheetData>
    <row r="1" spans="1:30" x14ac:dyDescent="0.25">
      <c r="A1" t="str">
        <f>Clean_Data!A1</f>
        <v>Sr.No</v>
      </c>
      <c r="B1" t="str">
        <f>Clean_Data!B1</f>
        <v>Institute Name</v>
      </c>
      <c r="C1" t="str">
        <f>Clean_Data!C1</f>
        <v>Date &amp; Time</v>
      </c>
      <c r="D1" t="str">
        <f>Clean_Data!D1</f>
        <v>Order ID</v>
      </c>
      <c r="E1" t="str">
        <f>Clean_Data!E1</f>
        <v>Edviron order ID</v>
      </c>
      <c r="F1" t="str">
        <f>Clean_Data!F1</f>
        <v>Ordear Amt</v>
      </c>
      <c r="G1" t="str">
        <f>Clean_Data!G1</f>
        <v>Trasaction Amount</v>
      </c>
      <c r="H1" t="str">
        <f>Clean_Data!H1</f>
        <v>Payment Method</v>
      </c>
      <c r="I1" t="str">
        <f>Clean_Data!I1</f>
        <v>payment_mode</v>
      </c>
      <c r="J1" t="str">
        <f>Clean_Data!J1</f>
        <v>Status</v>
      </c>
      <c r="K1" t="str">
        <f>Clean_Data!K1</f>
        <v>Student Name</v>
      </c>
      <c r="L1" t="str">
        <f>Clean_Data!L1</f>
        <v>Phone No.</v>
      </c>
      <c r="M1" t="str">
        <f>Clean_Data!M1</f>
        <v>Vendor Amount</v>
      </c>
      <c r="N1" t="str">
        <f>Clean_Data!N1</f>
        <v>Gateway</v>
      </c>
      <c r="O1" t="str">
        <f>Clean_Data!O1</f>
        <v>Capture Status</v>
      </c>
      <c r="P1" t="str">
        <f>Clean_Data!P1</f>
        <v>Merchant Pricing</v>
      </c>
      <c r="Q1" t="str">
        <f>Clean_Data!Q1</f>
        <v>Merchant Pricing Type</v>
      </c>
      <c r="R1" t="str">
        <f>Clean_Data!R1</f>
        <v>Partner Pricing</v>
      </c>
      <c r="S1" t="str">
        <f>Clean_Data!S1</f>
        <v>Partner Pricing Type</v>
      </c>
      <c r="T1" t="str">
        <f>Clean_Data!T1</f>
        <v>Edviron Buying</v>
      </c>
      <c r="U1" t="str">
        <f>Clean_Data!U1</f>
        <v>Edviron Buying type</v>
      </c>
      <c r="V1" t="s">
        <v>185</v>
      </c>
      <c r="W1" t="s">
        <v>187</v>
      </c>
      <c r="X1" t="s">
        <v>186</v>
      </c>
      <c r="Y1" t="s">
        <v>183</v>
      </c>
      <c r="Z1" t="s">
        <v>184</v>
      </c>
      <c r="AA1" t="s">
        <v>188</v>
      </c>
      <c r="AB1" t="s">
        <v>189</v>
      </c>
      <c r="AC1" t="s">
        <v>190</v>
      </c>
      <c r="AD1" t="s">
        <v>191</v>
      </c>
    </row>
    <row r="2" spans="1:30" x14ac:dyDescent="0.25">
      <c r="A2" t="str">
        <f>Clean_Data!A2</f>
        <v>1</v>
      </c>
      <c r="B2" t="str">
        <f>Clean_Data!B2</f>
        <v>SBNM College of Pharmacy (D. Pharmacy &amp; B.Pharmarcy</v>
      </c>
      <c r="C2" t="str">
        <f>Clean_Data!C2</f>
        <v>1/4/2025, 12:31:47 PM</v>
      </c>
      <c r="D2" t="str">
        <f>Clean_Data!D2</f>
        <v>EDVI0000002711</v>
      </c>
      <c r="E2" t="str">
        <f>Clean_Data!E2</f>
        <v>67eb8f5ba0b8c5db0650bf9c</v>
      </c>
      <c r="F2">
        <f>Clean_Data!F2</f>
        <v>3800</v>
      </c>
      <c r="G2">
        <f>Clean_Data!G2</f>
        <v>3802.36</v>
      </c>
      <c r="H2" t="str">
        <f>Clean_Data!H2</f>
        <v>upi</v>
      </c>
      <c r="I2" t="str">
        <f>Clean_Data!I2</f>
        <v>UPI</v>
      </c>
      <c r="J2" t="str">
        <f>Clean_Data!J2</f>
        <v>SUCCESS</v>
      </c>
      <c r="K2" t="str">
        <f>Clean_Data!K2</f>
        <v>RushikeshPatil</v>
      </c>
      <c r="L2" t="str">
        <f>Clean_Data!L2</f>
        <v/>
      </c>
      <c r="M2" t="str">
        <f>Clean_Data!M2</f>
        <v>NA</v>
      </c>
      <c r="N2" t="str">
        <f>Clean_Data!N2</f>
        <v>CASHFREE</v>
      </c>
      <c r="O2" t="str">
        <f>Clean_Data!O2</f>
        <v/>
      </c>
      <c r="P2">
        <f>Clean_Data!P2</f>
        <v>2</v>
      </c>
      <c r="Q2" t="str">
        <f>Clean_Data!Q2</f>
        <v>FLAT</v>
      </c>
      <c r="R2">
        <f>Clean_Data!R2</f>
        <v>2</v>
      </c>
      <c r="S2" t="str">
        <f>Clean_Data!S2</f>
        <v>FLAT</v>
      </c>
      <c r="T2">
        <f>Clean_Data!T2</f>
        <v>0</v>
      </c>
      <c r="U2" t="str">
        <f>Clean_Data!U2</f>
        <v>FLAT</v>
      </c>
      <c r="V2">
        <f>IF(ISNUMBER(SEARCH("%",R2)),VALUE(SUBSTITUTE(R2,"%",""))/100*G2,R2)</f>
        <v>2</v>
      </c>
      <c r="W2">
        <f>IF(ISNUMBER(SEARCH("%",P2)),VALUE(SUBSTITUTE(P2,"%",""))/100*G2,P2)</f>
        <v>2</v>
      </c>
      <c r="X2">
        <f>IF(ISNUMBER(SEARCH("%",T2)),VALUE(SUBSTITUTE(T2,"%",""))/100*I2,T2)</f>
        <v>0</v>
      </c>
      <c r="Y2">
        <f>W2-V2</f>
        <v>0</v>
      </c>
      <c r="Z2">
        <f t="shared" ref="Z2:AA2" si="0">X2-W2</f>
        <v>-2</v>
      </c>
      <c r="AA2">
        <f t="shared" si="0"/>
        <v>0</v>
      </c>
      <c r="AB2">
        <f>Y2</f>
        <v>0</v>
      </c>
      <c r="AC2">
        <f t="shared" ref="AC2:AD2" si="1">Z2</f>
        <v>-2</v>
      </c>
      <c r="AD2">
        <f t="shared" si="1"/>
        <v>0</v>
      </c>
    </row>
    <row r="3" spans="1:30" x14ac:dyDescent="0.25">
      <c r="A3" t="str">
        <f>Clean_Data!A3</f>
        <v>2</v>
      </c>
      <c r="B3" t="str">
        <f>Clean_Data!B3</f>
        <v>R P College of Pharmacy</v>
      </c>
      <c r="C3" t="str">
        <f>Clean_Data!C3</f>
        <v>11/4/2025, 11:51:49 AM</v>
      </c>
      <c r="D3" t="str">
        <f>Clean_Data!D3</f>
        <v>EDVI0000002716</v>
      </c>
      <c r="E3" t="str">
        <f>Clean_Data!E3</f>
        <v>67f8b4fdb7b5f003daf0968e</v>
      </c>
      <c r="F3">
        <f>Clean_Data!F3</f>
        <v>15000</v>
      </c>
      <c r="G3">
        <f>Clean_Data!G3</f>
        <v>15002.36</v>
      </c>
      <c r="H3" t="str">
        <f>Clean_Data!H3</f>
        <v>upi</v>
      </c>
      <c r="I3" t="str">
        <f>Clean_Data!I3</f>
        <v>UPI</v>
      </c>
      <c r="J3" t="str">
        <f>Clean_Data!J3</f>
        <v>SUCCESS</v>
      </c>
      <c r="K3" t="str">
        <f>Clean_Data!K3</f>
        <v>Pranav Prakash Deshpande</v>
      </c>
      <c r="L3" t="str">
        <f>Clean_Data!L3</f>
        <v/>
      </c>
      <c r="M3" t="str">
        <f>Clean_Data!M3</f>
        <v>NA</v>
      </c>
      <c r="N3" t="str">
        <f>Clean_Data!N3</f>
        <v>CASHFREE</v>
      </c>
      <c r="O3" t="str">
        <f>Clean_Data!O3</f>
        <v/>
      </c>
      <c r="P3">
        <f>Clean_Data!P3</f>
        <v>2</v>
      </c>
      <c r="Q3" t="str">
        <f>Clean_Data!Q3</f>
        <v>FLAT</v>
      </c>
      <c r="R3">
        <f>Clean_Data!R3</f>
        <v>2</v>
      </c>
      <c r="S3" t="str">
        <f>Clean_Data!S3</f>
        <v>FLAT</v>
      </c>
      <c r="T3">
        <f>Clean_Data!T3</f>
        <v>0</v>
      </c>
      <c r="U3" t="str">
        <f>Clean_Data!U3</f>
        <v>FLAT</v>
      </c>
      <c r="V3">
        <f t="shared" ref="V3:V37" si="2">IF(ISNUMBER(SEARCH("%",R3)),VALUE(SUBSTITUTE(R3,"%",""))/100*G3,R3)</f>
        <v>2</v>
      </c>
      <c r="W3">
        <f t="shared" ref="W3:W37" si="3">IF(ISNUMBER(SEARCH("%",P3)),VALUE(SUBSTITUTE(P3,"%",""))/100*G3,P3)</f>
        <v>2</v>
      </c>
      <c r="X3">
        <f t="shared" ref="X3:X37" si="4">IF(ISNUMBER(SEARCH("%",T3)),VALUE(SUBSTITUTE(T3,"%",""))/100*I3,T3)</f>
        <v>0</v>
      </c>
      <c r="Y3">
        <f t="shared" ref="Y3:Y37" si="5">W3-V3</f>
        <v>0</v>
      </c>
      <c r="Z3">
        <f t="shared" ref="Z3:Z37" si="6">X3-W3</f>
        <v>-2</v>
      </c>
      <c r="AA3">
        <f t="shared" ref="AA3:AA37" si="7">Y3-X3</f>
        <v>0</v>
      </c>
      <c r="AB3">
        <f t="shared" ref="AB3:AB37" si="8">Y3</f>
        <v>0</v>
      </c>
      <c r="AC3">
        <f t="shared" ref="AC3:AC37" si="9">Z3</f>
        <v>-2</v>
      </c>
      <c r="AD3">
        <f t="shared" ref="AD3:AD37" si="10">AA3</f>
        <v>0</v>
      </c>
    </row>
    <row r="4" spans="1:30" x14ac:dyDescent="0.25">
      <c r="A4" t="str">
        <f>Clean_Data!A4</f>
        <v>3</v>
      </c>
      <c r="B4" t="str">
        <f>Clean_Data!B4</f>
        <v>R P College of Pharmacy</v>
      </c>
      <c r="C4" t="str">
        <f>Clean_Data!C4</f>
        <v>21/4/2025, 10:31:19 am</v>
      </c>
      <c r="D4" t="str">
        <f>Clean_Data!D4</f>
        <v>EDVI0000002722</v>
      </c>
      <c r="E4" t="str">
        <f>Clean_Data!E4</f>
        <v>6805d11f8218d3a8c0364231</v>
      </c>
      <c r="F4">
        <f>Clean_Data!F4</f>
        <v>10000</v>
      </c>
      <c r="G4">
        <f>Clean_Data!G4</f>
        <v>10002.36</v>
      </c>
      <c r="H4" t="str">
        <f>Clean_Data!H4</f>
        <v>upi</v>
      </c>
      <c r="I4" t="str">
        <f>Clean_Data!I4</f>
        <v>UPI</v>
      </c>
      <c r="J4" t="str">
        <f>Clean_Data!J4</f>
        <v>SUCCESS</v>
      </c>
      <c r="K4" t="str">
        <f>Clean_Data!K4</f>
        <v>Dattatray Uttam Gholve</v>
      </c>
      <c r="L4" t="str">
        <f>Clean_Data!L4</f>
        <v/>
      </c>
      <c r="M4" t="str">
        <f>Clean_Data!M4</f>
        <v>NA</v>
      </c>
      <c r="N4" t="str">
        <f>Clean_Data!N4</f>
        <v>CASHFREE</v>
      </c>
      <c r="O4" t="str">
        <f>Clean_Data!O4</f>
        <v/>
      </c>
      <c r="P4">
        <f>Clean_Data!P4</f>
        <v>2</v>
      </c>
      <c r="Q4" t="str">
        <f>Clean_Data!Q4</f>
        <v>FLAT</v>
      </c>
      <c r="R4">
        <f>Clean_Data!R4</f>
        <v>2</v>
      </c>
      <c r="S4" t="str">
        <f>Clean_Data!S4</f>
        <v>FLAT</v>
      </c>
      <c r="T4">
        <f>Clean_Data!T4</f>
        <v>0</v>
      </c>
      <c r="U4" t="str">
        <f>Clean_Data!U4</f>
        <v>FLAT</v>
      </c>
      <c r="V4">
        <f t="shared" si="2"/>
        <v>2</v>
      </c>
      <c r="W4">
        <f t="shared" si="3"/>
        <v>2</v>
      </c>
      <c r="X4">
        <f t="shared" si="4"/>
        <v>0</v>
      </c>
      <c r="Y4">
        <f t="shared" si="5"/>
        <v>0</v>
      </c>
      <c r="Z4">
        <f t="shared" si="6"/>
        <v>-2</v>
      </c>
      <c r="AA4">
        <f t="shared" si="7"/>
        <v>0</v>
      </c>
      <c r="AB4">
        <f t="shared" si="8"/>
        <v>0</v>
      </c>
      <c r="AC4">
        <f t="shared" si="9"/>
        <v>-2</v>
      </c>
      <c r="AD4">
        <f t="shared" si="10"/>
        <v>0</v>
      </c>
    </row>
    <row r="5" spans="1:30" x14ac:dyDescent="0.25">
      <c r="A5" t="str">
        <f>Clean_Data!A5</f>
        <v>4</v>
      </c>
      <c r="B5" t="str">
        <f>Clean_Data!B5</f>
        <v>R P College of Pharmacy</v>
      </c>
      <c r="C5" t="str">
        <f>Clean_Data!C5</f>
        <v>29/4/2025, 11:10:54 am</v>
      </c>
      <c r="D5" t="str">
        <f>Clean_Data!D5</f>
        <v>EDVI0000002724</v>
      </c>
      <c r="E5" t="str">
        <f>Clean_Data!E5</f>
        <v>681066668dde280c7a057a3a</v>
      </c>
      <c r="F5">
        <f>Clean_Data!F5</f>
        <v>5000</v>
      </c>
      <c r="G5">
        <f>Clean_Data!G5</f>
        <v>5002.3599999999997</v>
      </c>
      <c r="H5" t="str">
        <f>Clean_Data!H5</f>
        <v>upi</v>
      </c>
      <c r="I5" t="str">
        <f>Clean_Data!I5</f>
        <v>UPI</v>
      </c>
      <c r="J5" t="str">
        <f>Clean_Data!J5</f>
        <v>SUCCESS</v>
      </c>
      <c r="K5" t="str">
        <f>Clean_Data!K5</f>
        <v>Saniya Wajid Shaikh</v>
      </c>
      <c r="L5" t="str">
        <f>Clean_Data!L5</f>
        <v/>
      </c>
      <c r="M5" t="str">
        <f>Clean_Data!M5</f>
        <v>NA</v>
      </c>
      <c r="N5" t="str">
        <f>Clean_Data!N5</f>
        <v>CASHFREE</v>
      </c>
      <c r="O5" t="str">
        <f>Clean_Data!O5</f>
        <v/>
      </c>
      <c r="P5">
        <f>Clean_Data!P5</f>
        <v>2</v>
      </c>
      <c r="Q5" t="str">
        <f>Clean_Data!Q5</f>
        <v>FLAT</v>
      </c>
      <c r="R5">
        <f>Clean_Data!R5</f>
        <v>2</v>
      </c>
      <c r="S5" t="str">
        <f>Clean_Data!S5</f>
        <v>FLAT</v>
      </c>
      <c r="T5">
        <f>Clean_Data!T5</f>
        <v>0</v>
      </c>
      <c r="U5" t="str">
        <f>Clean_Data!U5</f>
        <v>FLAT</v>
      </c>
      <c r="V5">
        <f t="shared" si="2"/>
        <v>2</v>
      </c>
      <c r="W5">
        <f t="shared" si="3"/>
        <v>2</v>
      </c>
      <c r="X5">
        <f t="shared" si="4"/>
        <v>0</v>
      </c>
      <c r="Y5">
        <f t="shared" si="5"/>
        <v>0</v>
      </c>
      <c r="Z5">
        <f t="shared" si="6"/>
        <v>-2</v>
      </c>
      <c r="AA5">
        <f t="shared" si="7"/>
        <v>0</v>
      </c>
      <c r="AB5">
        <f t="shared" si="8"/>
        <v>0</v>
      </c>
      <c r="AC5">
        <f t="shared" si="9"/>
        <v>-2</v>
      </c>
      <c r="AD5">
        <f t="shared" si="10"/>
        <v>0</v>
      </c>
    </row>
    <row r="6" spans="1:30" x14ac:dyDescent="0.25">
      <c r="A6" t="str">
        <f>Clean_Data!A6</f>
        <v>5</v>
      </c>
      <c r="B6" t="str">
        <f>Clean_Data!B6</f>
        <v>R P College of Pharmacy</v>
      </c>
      <c r="C6" t="str">
        <f>Clean_Data!C6</f>
        <v>29/4/2025, 11:14:19 am</v>
      </c>
      <c r="D6" t="str">
        <f>Clean_Data!D6</f>
        <v>EDVI0000002725</v>
      </c>
      <c r="E6" t="str">
        <f>Clean_Data!E6</f>
        <v>68106733d4b7fd07d305e50a</v>
      </c>
      <c r="F6">
        <f>Clean_Data!F6</f>
        <v>5000</v>
      </c>
      <c r="G6">
        <f>Clean_Data!G6</f>
        <v>5002.3599999999997</v>
      </c>
      <c r="H6" t="str">
        <f>Clean_Data!H6</f>
        <v>upi</v>
      </c>
      <c r="I6" t="str">
        <f>Clean_Data!I6</f>
        <v>UPI</v>
      </c>
      <c r="J6" t="str">
        <f>Clean_Data!J6</f>
        <v>SUCCESS</v>
      </c>
      <c r="K6" t="str">
        <f>Clean_Data!K6</f>
        <v>Pooja subhashprasad shukla</v>
      </c>
      <c r="L6" t="str">
        <f>Clean_Data!L6</f>
        <v/>
      </c>
      <c r="M6" t="str">
        <f>Clean_Data!M6</f>
        <v>NA</v>
      </c>
      <c r="N6" t="str">
        <f>Clean_Data!N6</f>
        <v>CASHFREE</v>
      </c>
      <c r="O6" t="str">
        <f>Clean_Data!O6</f>
        <v/>
      </c>
      <c r="P6">
        <f>Clean_Data!P6</f>
        <v>2</v>
      </c>
      <c r="Q6" t="str">
        <f>Clean_Data!Q6</f>
        <v>FLAT</v>
      </c>
      <c r="R6">
        <f>Clean_Data!R6</f>
        <v>2</v>
      </c>
      <c r="S6" t="str">
        <f>Clean_Data!S6</f>
        <v>FLAT</v>
      </c>
      <c r="T6">
        <f>Clean_Data!T6</f>
        <v>0</v>
      </c>
      <c r="U6" t="str">
        <f>Clean_Data!U6</f>
        <v>FLAT</v>
      </c>
      <c r="V6">
        <f t="shared" si="2"/>
        <v>2</v>
      </c>
      <c r="W6">
        <f t="shared" si="3"/>
        <v>2</v>
      </c>
      <c r="X6">
        <f t="shared" si="4"/>
        <v>0</v>
      </c>
      <c r="Y6">
        <f t="shared" si="5"/>
        <v>0</v>
      </c>
      <c r="Z6">
        <f t="shared" si="6"/>
        <v>-2</v>
      </c>
      <c r="AA6">
        <f t="shared" si="7"/>
        <v>0</v>
      </c>
      <c r="AB6">
        <f t="shared" si="8"/>
        <v>0</v>
      </c>
      <c r="AC6">
        <f t="shared" si="9"/>
        <v>-2</v>
      </c>
      <c r="AD6">
        <f t="shared" si="10"/>
        <v>0</v>
      </c>
    </row>
    <row r="7" spans="1:30" x14ac:dyDescent="0.25">
      <c r="A7" t="str">
        <f>Clean_Data!A7</f>
        <v>6</v>
      </c>
      <c r="B7" t="str">
        <f>Clean_Data!B7</f>
        <v>R P College of Pharmacy</v>
      </c>
      <c r="C7" t="str">
        <f>Clean_Data!C7</f>
        <v>30/4/2025, 1:53:35 pm</v>
      </c>
      <c r="D7" t="str">
        <f>Clean_Data!D7</f>
        <v>EDVI0000004024</v>
      </c>
      <c r="E7" t="str">
        <f>Clean_Data!E7</f>
        <v>6811de07d4b7fd07d306cb37</v>
      </c>
      <c r="F7">
        <f>Clean_Data!F7</f>
        <v>10000</v>
      </c>
      <c r="G7">
        <f>Clean_Data!G7</f>
        <v>10002.36</v>
      </c>
      <c r="H7" t="str">
        <f>Clean_Data!H7</f>
        <v>upi</v>
      </c>
      <c r="I7" t="str">
        <f>Clean_Data!I7</f>
        <v>UPI</v>
      </c>
      <c r="J7" t="str">
        <f>Clean_Data!J7</f>
        <v>SUCCESS</v>
      </c>
      <c r="K7" t="str">
        <f>Clean_Data!K7</f>
        <v>BEGADE HALIMA BADSHAHA</v>
      </c>
      <c r="L7" t="str">
        <f>Clean_Data!L7</f>
        <v/>
      </c>
      <c r="M7" t="str">
        <f>Clean_Data!M7</f>
        <v>NA</v>
      </c>
      <c r="N7" t="str">
        <f>Clean_Data!N7</f>
        <v>CASHFREE</v>
      </c>
      <c r="O7" t="str">
        <f>Clean_Data!O7</f>
        <v/>
      </c>
      <c r="P7">
        <f>Clean_Data!P7</f>
        <v>2</v>
      </c>
      <c r="Q7" t="str">
        <f>Clean_Data!Q7</f>
        <v>FLAT</v>
      </c>
      <c r="R7">
        <f>Clean_Data!R7</f>
        <v>2</v>
      </c>
      <c r="S7" t="str">
        <f>Clean_Data!S7</f>
        <v>FLAT</v>
      </c>
      <c r="T7">
        <f>Clean_Data!T7</f>
        <v>0</v>
      </c>
      <c r="U7" t="str">
        <f>Clean_Data!U7</f>
        <v>FLAT</v>
      </c>
      <c r="V7">
        <f t="shared" si="2"/>
        <v>2</v>
      </c>
      <c r="W7">
        <f t="shared" si="3"/>
        <v>2</v>
      </c>
      <c r="X7">
        <f t="shared" si="4"/>
        <v>0</v>
      </c>
      <c r="Y7">
        <f t="shared" si="5"/>
        <v>0</v>
      </c>
      <c r="Z7">
        <f t="shared" si="6"/>
        <v>-2</v>
      </c>
      <c r="AA7">
        <f t="shared" si="7"/>
        <v>0</v>
      </c>
      <c r="AB7">
        <f t="shared" si="8"/>
        <v>0</v>
      </c>
      <c r="AC7">
        <f t="shared" si="9"/>
        <v>-2</v>
      </c>
      <c r="AD7">
        <f t="shared" si="10"/>
        <v>0</v>
      </c>
    </row>
    <row r="8" spans="1:30" x14ac:dyDescent="0.25">
      <c r="A8" t="str">
        <f>Clean_Data!A8</f>
        <v>7</v>
      </c>
      <c r="B8" t="str">
        <f>Clean_Data!B8</f>
        <v>R P College of Pharmacy</v>
      </c>
      <c r="C8" t="str">
        <f>Clean_Data!C8</f>
        <v>30/4/2025, 2:03:25 pm</v>
      </c>
      <c r="D8" t="str">
        <f>Clean_Data!D8</f>
        <v>EDVI0000004025</v>
      </c>
      <c r="E8" t="str">
        <f>Clean_Data!E8</f>
        <v>6811e055d4b7fd07d306ceed</v>
      </c>
      <c r="F8">
        <f>Clean_Data!F8</f>
        <v>18836</v>
      </c>
      <c r="G8">
        <f>Clean_Data!G8</f>
        <v>18838.36</v>
      </c>
      <c r="H8" t="str">
        <f>Clean_Data!H8</f>
        <v>upi</v>
      </c>
      <c r="I8" t="str">
        <f>Clean_Data!I8</f>
        <v>UPI</v>
      </c>
      <c r="J8" t="str">
        <f>Clean_Data!J8</f>
        <v>SUCCESS</v>
      </c>
      <c r="K8" t="str">
        <f>Clean_Data!K8</f>
        <v>JADHAV GAURAV SANTOSH</v>
      </c>
      <c r="L8" t="str">
        <f>Clean_Data!L8</f>
        <v/>
      </c>
      <c r="M8" t="str">
        <f>Clean_Data!M8</f>
        <v>NA</v>
      </c>
      <c r="N8" t="str">
        <f>Clean_Data!N8</f>
        <v>CASHFREE</v>
      </c>
      <c r="O8" t="str">
        <f>Clean_Data!O8</f>
        <v/>
      </c>
      <c r="P8">
        <f>Clean_Data!P8</f>
        <v>2</v>
      </c>
      <c r="Q8" t="str">
        <f>Clean_Data!Q8</f>
        <v>FLAT</v>
      </c>
      <c r="R8">
        <f>Clean_Data!R8</f>
        <v>2</v>
      </c>
      <c r="S8" t="str">
        <f>Clean_Data!S8</f>
        <v>FLAT</v>
      </c>
      <c r="T8">
        <f>Clean_Data!T8</f>
        <v>0</v>
      </c>
      <c r="U8" t="str">
        <f>Clean_Data!U8</f>
        <v>FLAT</v>
      </c>
      <c r="V8">
        <f t="shared" si="2"/>
        <v>2</v>
      </c>
      <c r="W8">
        <f t="shared" si="3"/>
        <v>2</v>
      </c>
      <c r="X8">
        <f t="shared" si="4"/>
        <v>0</v>
      </c>
      <c r="Y8">
        <f t="shared" si="5"/>
        <v>0</v>
      </c>
      <c r="Z8">
        <f t="shared" si="6"/>
        <v>-2</v>
      </c>
      <c r="AA8">
        <f t="shared" si="7"/>
        <v>0</v>
      </c>
      <c r="AB8">
        <f t="shared" si="8"/>
        <v>0</v>
      </c>
      <c r="AC8">
        <f t="shared" si="9"/>
        <v>-2</v>
      </c>
      <c r="AD8">
        <f t="shared" si="10"/>
        <v>0</v>
      </c>
    </row>
    <row r="9" spans="1:30" x14ac:dyDescent="0.25">
      <c r="A9" t="str">
        <f>Clean_Data!A9</f>
        <v>1</v>
      </c>
      <c r="B9" t="str">
        <f>Clean_Data!B9</f>
        <v>R P College of Pharmacy</v>
      </c>
      <c r="C9" t="str">
        <f>Clean_Data!C9</f>
        <v>14/6/2025, 11:24:42 am</v>
      </c>
      <c r="D9" t="str">
        <f>Clean_Data!D9</f>
        <v>EDVI0000004079</v>
      </c>
      <c r="E9" t="str">
        <f>Clean_Data!E9</f>
        <v>684d0ea2b1091c01feb8de58</v>
      </c>
      <c r="F9">
        <f>Clean_Data!F9</f>
        <v>10576</v>
      </c>
      <c r="G9">
        <f>Clean_Data!G9</f>
        <v>10578.36</v>
      </c>
      <c r="H9" t="str">
        <f>Clean_Data!H9</f>
        <v>upi</v>
      </c>
      <c r="I9" t="str">
        <f>Clean_Data!I9</f>
        <v>Others</v>
      </c>
      <c r="J9" t="str">
        <f>Clean_Data!J9</f>
        <v>SUCCESS</v>
      </c>
      <c r="K9" t="str">
        <f>Clean_Data!K9</f>
        <v>SOHAM SAGAR KHOT</v>
      </c>
      <c r="L9" t="str">
        <f>Clean_Data!L9</f>
        <v/>
      </c>
      <c r="M9" t="str">
        <f>Clean_Data!M9</f>
        <v>NA</v>
      </c>
      <c r="N9" t="str">
        <f>Clean_Data!N9</f>
        <v>CASHFREE</v>
      </c>
      <c r="O9" t="str">
        <f>Clean_Data!O9</f>
        <v/>
      </c>
      <c r="P9">
        <f>Clean_Data!P9</f>
        <v>2</v>
      </c>
      <c r="Q9" t="str">
        <f>Clean_Data!Q9</f>
        <v>FLAT</v>
      </c>
      <c r="R9">
        <f>Clean_Data!R9</f>
        <v>2</v>
      </c>
      <c r="S9" t="str">
        <f>Clean_Data!S9</f>
        <v>FLAT</v>
      </c>
      <c r="T9">
        <f>Clean_Data!T9</f>
        <v>0</v>
      </c>
      <c r="U9" t="str">
        <f>Clean_Data!U9</f>
        <v>FLAT</v>
      </c>
      <c r="V9">
        <f t="shared" si="2"/>
        <v>2</v>
      </c>
      <c r="W9">
        <f t="shared" si="3"/>
        <v>2</v>
      </c>
      <c r="X9">
        <f t="shared" si="4"/>
        <v>0</v>
      </c>
      <c r="Y9">
        <f t="shared" si="5"/>
        <v>0</v>
      </c>
      <c r="Z9">
        <f t="shared" si="6"/>
        <v>-2</v>
      </c>
      <c r="AA9">
        <f t="shared" si="7"/>
        <v>0</v>
      </c>
      <c r="AB9">
        <f t="shared" si="8"/>
        <v>0</v>
      </c>
      <c r="AC9">
        <f t="shared" si="9"/>
        <v>-2</v>
      </c>
      <c r="AD9">
        <f t="shared" si="10"/>
        <v>0</v>
      </c>
    </row>
    <row r="10" spans="1:30" x14ac:dyDescent="0.25">
      <c r="A10" t="str">
        <f>Clean_Data!A10</f>
        <v>2</v>
      </c>
      <c r="B10" t="str">
        <f>Clean_Data!B10</f>
        <v>R P College of Pharmacy</v>
      </c>
      <c r="C10" t="str">
        <f>Clean_Data!C10</f>
        <v>7/7/2025, 4:08:10 PM</v>
      </c>
      <c r="D10" t="str">
        <f>Clean_Data!D10</f>
        <v>EDVI0000004105</v>
      </c>
      <c r="E10" t="str">
        <f>Clean_Data!E10</f>
        <v>686ba3924e76b124b7acdd57</v>
      </c>
      <c r="F10">
        <f>Clean_Data!F10</f>
        <v>1</v>
      </c>
      <c r="G10">
        <f>Clean_Data!G10</f>
        <v>3.36</v>
      </c>
      <c r="H10" t="str">
        <f>Clean_Data!H10</f>
        <v>upi</v>
      </c>
      <c r="I10" t="str">
        <f>Clean_Data!I10</f>
        <v>Others</v>
      </c>
      <c r="J10" t="str">
        <f>Clean_Data!J10</f>
        <v>SUCCESS</v>
      </c>
      <c r="K10" t="str">
        <f>Clean_Data!K10</f>
        <v>Test Student</v>
      </c>
      <c r="L10" t="str">
        <f>Clean_Data!L10</f>
        <v/>
      </c>
      <c r="M10" t="str">
        <f>Clean_Data!M10</f>
        <v>NA</v>
      </c>
      <c r="N10" t="str">
        <f>Clean_Data!N10</f>
        <v>CASHFREE</v>
      </c>
      <c r="O10" t="str">
        <f>Clean_Data!O10</f>
        <v/>
      </c>
      <c r="P10">
        <f>Clean_Data!P10</f>
        <v>2</v>
      </c>
      <c r="Q10" t="str">
        <f>Clean_Data!Q10</f>
        <v>FLAT</v>
      </c>
      <c r="R10">
        <f>Clean_Data!R10</f>
        <v>2</v>
      </c>
      <c r="S10" t="str">
        <f>Clean_Data!S10</f>
        <v>FLAT</v>
      </c>
      <c r="T10">
        <f>Clean_Data!T10</f>
        <v>0</v>
      </c>
      <c r="U10" t="str">
        <f>Clean_Data!U10</f>
        <v>FLAT</v>
      </c>
      <c r="V10">
        <f t="shared" si="2"/>
        <v>2</v>
      </c>
      <c r="W10">
        <f t="shared" si="3"/>
        <v>2</v>
      </c>
      <c r="X10">
        <f t="shared" si="4"/>
        <v>0</v>
      </c>
      <c r="Y10">
        <f t="shared" si="5"/>
        <v>0</v>
      </c>
      <c r="Z10">
        <f t="shared" si="6"/>
        <v>-2</v>
      </c>
      <c r="AA10">
        <f t="shared" si="7"/>
        <v>0</v>
      </c>
      <c r="AB10">
        <f t="shared" si="8"/>
        <v>0</v>
      </c>
      <c r="AC10">
        <f t="shared" si="9"/>
        <v>-2</v>
      </c>
      <c r="AD10">
        <f t="shared" si="10"/>
        <v>0</v>
      </c>
    </row>
    <row r="11" spans="1:30" x14ac:dyDescent="0.25">
      <c r="A11" t="str">
        <f>Clean_Data!A11</f>
        <v>6</v>
      </c>
      <c r="B11" t="str">
        <f>Clean_Data!B11</f>
        <v>ST MICHAEL'S SCHOOL FOR GIRLS</v>
      </c>
      <c r="C11" t="str">
        <f>Clean_Data!C11</f>
        <v>14/11/2025, 10:46:26 am</v>
      </c>
      <c r="D11" t="str">
        <f>Clean_Data!D11</f>
        <v>SMED0000000331</v>
      </c>
      <c r="E11" t="str">
        <f>Clean_Data!E11</f>
        <v>6916bb2afede88bc173e1480</v>
      </c>
      <c r="F11">
        <f>Clean_Data!F11</f>
        <v>34325</v>
      </c>
      <c r="G11">
        <f>Clean_Data!G11</f>
        <v>34327.360000000001</v>
      </c>
      <c r="H11" t="str">
        <f>Clean_Data!H11</f>
        <v>upi</v>
      </c>
      <c r="I11" t="str">
        <f>Clean_Data!I11</f>
        <v>Others</v>
      </c>
      <c r="J11" t="str">
        <f>Clean_Data!J11</f>
        <v>SUCCESS</v>
      </c>
      <c r="K11" t="str">
        <f>Clean_Data!K11</f>
        <v>RUDRANI SENGUPTA</v>
      </c>
      <c r="L11" t="str">
        <f>Clean_Data!L11</f>
        <v/>
      </c>
      <c r="M11" t="str">
        <f>Clean_Data!M11</f>
        <v>NA</v>
      </c>
      <c r="N11" t="str">
        <f>Clean_Data!N11</f>
        <v>EDVIRON_EASEBUZZ</v>
      </c>
      <c r="O11" t="str">
        <f>Clean_Data!O11</f>
        <v/>
      </c>
      <c r="P11">
        <f>Clean_Data!P11</f>
        <v>2</v>
      </c>
      <c r="Q11" t="str">
        <f>Clean_Data!Q11</f>
        <v>FLAT</v>
      </c>
      <c r="R11">
        <f>Clean_Data!R11</f>
        <v>2</v>
      </c>
      <c r="S11" t="str">
        <f>Clean_Data!S11</f>
        <v>FLAT</v>
      </c>
      <c r="T11">
        <f>Clean_Data!T11</f>
        <v>0</v>
      </c>
      <c r="U11" t="str">
        <f>Clean_Data!U11</f>
        <v>FLAT</v>
      </c>
      <c r="V11">
        <f t="shared" si="2"/>
        <v>2</v>
      </c>
      <c r="W11">
        <f t="shared" si="3"/>
        <v>2</v>
      </c>
      <c r="X11">
        <f t="shared" si="4"/>
        <v>0</v>
      </c>
      <c r="Y11">
        <f t="shared" si="5"/>
        <v>0</v>
      </c>
      <c r="Z11">
        <f t="shared" si="6"/>
        <v>-2</v>
      </c>
      <c r="AA11">
        <f t="shared" si="7"/>
        <v>0</v>
      </c>
      <c r="AB11">
        <f t="shared" si="8"/>
        <v>0</v>
      </c>
      <c r="AC11">
        <f t="shared" si="9"/>
        <v>-2</v>
      </c>
      <c r="AD11">
        <f t="shared" si="10"/>
        <v>0</v>
      </c>
    </row>
    <row r="12" spans="1:30" x14ac:dyDescent="0.25">
      <c r="A12" t="str">
        <f>Clean_Data!A12</f>
        <v>8</v>
      </c>
      <c r="B12" t="str">
        <f>Clean_Data!B12</f>
        <v>ST MICHAEL'S SCHOOL FOR GIRLS</v>
      </c>
      <c r="C12" t="str">
        <f>Clean_Data!C12</f>
        <v>30/11/2025, 2:29:11 pm</v>
      </c>
      <c r="D12" t="str">
        <f>Clean_Data!D12</f>
        <v>SMED0000000337</v>
      </c>
      <c r="E12" t="str">
        <f>Clean_Data!E12</f>
        <v>692c075f09edb37dee1521c4</v>
      </c>
      <c r="F12">
        <f>Clean_Data!F12</f>
        <v>38100</v>
      </c>
      <c r="G12">
        <f>Clean_Data!G12</f>
        <v>38102.36</v>
      </c>
      <c r="H12" t="str">
        <f>Clean_Data!H12</f>
        <v>upi</v>
      </c>
      <c r="I12" t="str">
        <f>Clean_Data!I12</f>
        <v>Others</v>
      </c>
      <c r="J12" t="str">
        <f>Clean_Data!J12</f>
        <v>SUCCESS</v>
      </c>
      <c r="K12" t="str">
        <f>Clean_Data!K12</f>
        <v>VASUDHA ALOK</v>
      </c>
      <c r="L12" t="str">
        <f>Clean_Data!L12</f>
        <v/>
      </c>
      <c r="M12" t="str">
        <f>Clean_Data!M12</f>
        <v>NA</v>
      </c>
      <c r="N12" t="str">
        <f>Clean_Data!N12</f>
        <v>EDVIRON_EASEBUZZ</v>
      </c>
      <c r="O12" t="str">
        <f>Clean_Data!O12</f>
        <v/>
      </c>
      <c r="P12">
        <f>Clean_Data!P12</f>
        <v>2</v>
      </c>
      <c r="Q12" t="str">
        <f>Clean_Data!Q12</f>
        <v>FLAT</v>
      </c>
      <c r="R12">
        <f>Clean_Data!R12</f>
        <v>2</v>
      </c>
      <c r="S12" t="str">
        <f>Clean_Data!S12</f>
        <v>FLAT</v>
      </c>
      <c r="T12">
        <f>Clean_Data!T12</f>
        <v>0</v>
      </c>
      <c r="U12" t="str">
        <f>Clean_Data!U12</f>
        <v>FLAT</v>
      </c>
      <c r="V12">
        <f t="shared" si="2"/>
        <v>2</v>
      </c>
      <c r="W12">
        <f t="shared" si="3"/>
        <v>2</v>
      </c>
      <c r="X12">
        <f t="shared" si="4"/>
        <v>0</v>
      </c>
      <c r="Y12">
        <f t="shared" si="5"/>
        <v>0</v>
      </c>
      <c r="Z12">
        <f t="shared" si="6"/>
        <v>-2</v>
      </c>
      <c r="AA12">
        <f t="shared" si="7"/>
        <v>0</v>
      </c>
      <c r="AB12">
        <f t="shared" si="8"/>
        <v>0</v>
      </c>
      <c r="AC12">
        <f t="shared" si="9"/>
        <v>-2</v>
      </c>
      <c r="AD12">
        <f t="shared" si="10"/>
        <v>0</v>
      </c>
    </row>
    <row r="13" spans="1:30" x14ac:dyDescent="0.25">
      <c r="A13" t="str">
        <f>Clean_Data!A13</f>
        <v>1</v>
      </c>
      <c r="B13" t="str">
        <f>Clean_Data!B13</f>
        <v>ST MICHAEL'S SCHOOL FOR GIRLS</v>
      </c>
      <c r="C13" t="str">
        <f>Clean_Data!C13</f>
        <v>1/12/2025, 1:41:08 PM</v>
      </c>
      <c r="D13" t="str">
        <f>Clean_Data!D13</f>
        <v>SMED0000000339</v>
      </c>
      <c r="E13" t="str">
        <f>Clean_Data!E13</f>
        <v>692d4d9c4b29e4e74d7d73d4</v>
      </c>
      <c r="F13">
        <f>Clean_Data!F13</f>
        <v>10350</v>
      </c>
      <c r="G13">
        <f>Clean_Data!G13</f>
        <v>10352.36</v>
      </c>
      <c r="H13" t="str">
        <f>Clean_Data!H13</f>
        <v>upi</v>
      </c>
      <c r="I13" t="str">
        <f>Clean_Data!I13</f>
        <v>-</v>
      </c>
      <c r="J13" t="str">
        <f>Clean_Data!J13</f>
        <v>SUCCESS</v>
      </c>
      <c r="K13" t="str">
        <f>Clean_Data!K13</f>
        <v>SHRITI SHARMA</v>
      </c>
      <c r="L13" t="str">
        <f>Clean_Data!L13</f>
        <v/>
      </c>
      <c r="M13" t="str">
        <f>Clean_Data!M13</f>
        <v>NA</v>
      </c>
      <c r="N13" t="str">
        <f>Clean_Data!N13</f>
        <v>EDVIRON_EASEBUZZ</v>
      </c>
      <c r="O13" t="str">
        <f>Clean_Data!O13</f>
        <v/>
      </c>
      <c r="P13">
        <f>Clean_Data!P13</f>
        <v>2</v>
      </c>
      <c r="Q13" t="str">
        <f>Clean_Data!Q13</f>
        <v>FLAT</v>
      </c>
      <c r="R13">
        <f>Clean_Data!R13</f>
        <v>2</v>
      </c>
      <c r="S13" t="str">
        <f>Clean_Data!S13</f>
        <v>FLAT</v>
      </c>
      <c r="T13">
        <f>Clean_Data!T13</f>
        <v>0</v>
      </c>
      <c r="U13" t="str">
        <f>Clean_Data!U13</f>
        <v>FLAT</v>
      </c>
      <c r="V13">
        <f t="shared" si="2"/>
        <v>2</v>
      </c>
      <c r="W13">
        <f t="shared" si="3"/>
        <v>2</v>
      </c>
      <c r="X13">
        <f t="shared" si="4"/>
        <v>0</v>
      </c>
      <c r="Y13">
        <f t="shared" si="5"/>
        <v>0</v>
      </c>
      <c r="Z13">
        <f t="shared" si="6"/>
        <v>-2</v>
      </c>
      <c r="AA13">
        <f t="shared" si="7"/>
        <v>0</v>
      </c>
      <c r="AB13">
        <f t="shared" si="8"/>
        <v>0</v>
      </c>
      <c r="AC13">
        <f t="shared" si="9"/>
        <v>-2</v>
      </c>
      <c r="AD13">
        <f t="shared" si="10"/>
        <v>0</v>
      </c>
    </row>
    <row r="14" spans="1:30" x14ac:dyDescent="0.25">
      <c r="A14" t="str">
        <f>Clean_Data!A14</f>
        <v>2</v>
      </c>
      <c r="B14" t="str">
        <f>Clean_Data!B14</f>
        <v>ST MICHAEL'S SCHOOL FOR GIRLS</v>
      </c>
      <c r="C14" t="str">
        <f>Clean_Data!C14</f>
        <v>2/12/2025, 9:46:41 AM</v>
      </c>
      <c r="D14" t="str">
        <f>Clean_Data!D14</f>
        <v>SMED0000000346</v>
      </c>
      <c r="E14" t="str">
        <f>Clean_Data!E14</f>
        <v>692e6829520e62e5c16bbb56</v>
      </c>
      <c r="F14">
        <f>Clean_Data!F14</f>
        <v>10950</v>
      </c>
      <c r="G14">
        <f>Clean_Data!G14</f>
        <v>10952.36</v>
      </c>
      <c r="H14" t="str">
        <f>Clean_Data!H14</f>
        <v>upi</v>
      </c>
      <c r="I14" t="str">
        <f>Clean_Data!I14</f>
        <v>Others</v>
      </c>
      <c r="J14" t="str">
        <f>Clean_Data!J14</f>
        <v>SUCCESS</v>
      </c>
      <c r="K14" t="str">
        <f>Clean_Data!K14</f>
        <v>SUBHASMITA SANYAL</v>
      </c>
      <c r="L14" t="str">
        <f>Clean_Data!L14</f>
        <v/>
      </c>
      <c r="M14" t="str">
        <f>Clean_Data!M14</f>
        <v>NA</v>
      </c>
      <c r="N14" t="str">
        <f>Clean_Data!N14</f>
        <v>EDVIRON_EASEBUZZ</v>
      </c>
      <c r="O14" t="str">
        <f>Clean_Data!O14</f>
        <v/>
      </c>
      <c r="P14">
        <f>Clean_Data!P14</f>
        <v>2</v>
      </c>
      <c r="Q14" t="str">
        <f>Clean_Data!Q14</f>
        <v>FLAT</v>
      </c>
      <c r="R14">
        <f>Clean_Data!R14</f>
        <v>2</v>
      </c>
      <c r="S14" t="str">
        <f>Clean_Data!S14</f>
        <v>FLAT</v>
      </c>
      <c r="T14">
        <f>Clean_Data!T14</f>
        <v>0</v>
      </c>
      <c r="U14" t="str">
        <f>Clean_Data!U14</f>
        <v>FLAT</v>
      </c>
      <c r="V14">
        <f t="shared" si="2"/>
        <v>2</v>
      </c>
      <c r="W14">
        <f t="shared" si="3"/>
        <v>2</v>
      </c>
      <c r="X14">
        <f t="shared" si="4"/>
        <v>0</v>
      </c>
      <c r="Y14">
        <f t="shared" si="5"/>
        <v>0</v>
      </c>
      <c r="Z14">
        <f t="shared" si="6"/>
        <v>-2</v>
      </c>
      <c r="AA14">
        <f t="shared" si="7"/>
        <v>0</v>
      </c>
      <c r="AB14">
        <f t="shared" si="8"/>
        <v>0</v>
      </c>
      <c r="AC14">
        <f t="shared" si="9"/>
        <v>-2</v>
      </c>
      <c r="AD14">
        <f t="shared" si="10"/>
        <v>0</v>
      </c>
    </row>
    <row r="15" spans="1:30" x14ac:dyDescent="0.25">
      <c r="A15" t="str">
        <f>Clean_Data!A15</f>
        <v>3</v>
      </c>
      <c r="B15" t="str">
        <f>Clean_Data!B15</f>
        <v>ST MICHAEL'S SCHOOL FOR GIRLS</v>
      </c>
      <c r="C15" t="str">
        <f>Clean_Data!C15</f>
        <v>2/12/2025, 2:06:21 PM</v>
      </c>
      <c r="D15" t="str">
        <f>Clean_Data!D15</f>
        <v>SMED0000000349</v>
      </c>
      <c r="E15" t="str">
        <f>Clean_Data!E15</f>
        <v>692ea505520e62e5c16e09b6</v>
      </c>
      <c r="F15">
        <f>Clean_Data!F15</f>
        <v>10350</v>
      </c>
      <c r="G15">
        <f>Clean_Data!G15</f>
        <v>10352.36</v>
      </c>
      <c r="H15" t="str">
        <f>Clean_Data!H15</f>
        <v>upi</v>
      </c>
      <c r="I15" t="str">
        <f>Clean_Data!I15</f>
        <v>Others</v>
      </c>
      <c r="J15" t="str">
        <f>Clean_Data!J15</f>
        <v>SUCCESS</v>
      </c>
      <c r="K15" t="str">
        <f>Clean_Data!K15</f>
        <v>PRAANAVI PURKAYASTHA</v>
      </c>
      <c r="L15" t="str">
        <f>Clean_Data!L15</f>
        <v/>
      </c>
      <c r="M15" t="str">
        <f>Clean_Data!M15</f>
        <v>NA</v>
      </c>
      <c r="N15" t="str">
        <f>Clean_Data!N15</f>
        <v>EDVIRON_EASEBUZZ</v>
      </c>
      <c r="O15" t="str">
        <f>Clean_Data!O15</f>
        <v/>
      </c>
      <c r="P15">
        <f>Clean_Data!P15</f>
        <v>2</v>
      </c>
      <c r="Q15" t="str">
        <f>Clean_Data!Q15</f>
        <v>FLAT</v>
      </c>
      <c r="R15">
        <f>Clean_Data!R15</f>
        <v>2</v>
      </c>
      <c r="S15" t="str">
        <f>Clean_Data!S15</f>
        <v>FLAT</v>
      </c>
      <c r="T15">
        <f>Clean_Data!T15</f>
        <v>0</v>
      </c>
      <c r="U15" t="str">
        <f>Clean_Data!U15</f>
        <v>FLAT</v>
      </c>
      <c r="V15">
        <f t="shared" si="2"/>
        <v>2</v>
      </c>
      <c r="W15">
        <f t="shared" si="3"/>
        <v>2</v>
      </c>
      <c r="X15">
        <f t="shared" si="4"/>
        <v>0</v>
      </c>
      <c r="Y15">
        <f t="shared" si="5"/>
        <v>0</v>
      </c>
      <c r="Z15">
        <f t="shared" si="6"/>
        <v>-2</v>
      </c>
      <c r="AA15">
        <f t="shared" si="7"/>
        <v>0</v>
      </c>
      <c r="AB15">
        <f t="shared" si="8"/>
        <v>0</v>
      </c>
      <c r="AC15">
        <f t="shared" si="9"/>
        <v>-2</v>
      </c>
      <c r="AD15">
        <f t="shared" si="10"/>
        <v>0</v>
      </c>
    </row>
    <row r="16" spans="1:30" x14ac:dyDescent="0.25">
      <c r="A16" t="str">
        <f>Clean_Data!A16</f>
        <v>4</v>
      </c>
      <c r="B16" t="str">
        <f>Clean_Data!B16</f>
        <v>ST MICHAEL'S SCHOOL FOR GIRLS</v>
      </c>
      <c r="C16" t="str">
        <f>Clean_Data!C16</f>
        <v>3/12/2025, 10:46:31 AM</v>
      </c>
      <c r="D16" t="str">
        <f>Clean_Data!D16</f>
        <v>SMED0000000352</v>
      </c>
      <c r="E16" t="str">
        <f>Clean_Data!E16</f>
        <v>692fc7af0dd7d8c4549949d0</v>
      </c>
      <c r="F16">
        <f>Clean_Data!F16</f>
        <v>10950</v>
      </c>
      <c r="G16">
        <f>Clean_Data!G16</f>
        <v>10952.36</v>
      </c>
      <c r="H16" t="str">
        <f>Clean_Data!H16</f>
        <v>upi</v>
      </c>
      <c r="I16" t="str">
        <f>Clean_Data!I16</f>
        <v>-</v>
      </c>
      <c r="J16" t="str">
        <f>Clean_Data!J16</f>
        <v>SUCCESS</v>
      </c>
      <c r="K16" t="str">
        <f>Clean_Data!K16</f>
        <v>MAHIRA SHARMA</v>
      </c>
      <c r="L16" t="str">
        <f>Clean_Data!L16</f>
        <v/>
      </c>
      <c r="M16" t="str">
        <f>Clean_Data!M16</f>
        <v>NA</v>
      </c>
      <c r="N16" t="str">
        <f>Clean_Data!N16</f>
        <v>EDVIRON_EASEBUZZ</v>
      </c>
      <c r="O16" t="str">
        <f>Clean_Data!O16</f>
        <v/>
      </c>
      <c r="P16">
        <f>Clean_Data!P16</f>
        <v>2</v>
      </c>
      <c r="Q16" t="str">
        <f>Clean_Data!Q16</f>
        <v>FLAT</v>
      </c>
      <c r="R16">
        <f>Clean_Data!R16</f>
        <v>2</v>
      </c>
      <c r="S16" t="str">
        <f>Clean_Data!S16</f>
        <v>FLAT</v>
      </c>
      <c r="T16">
        <f>Clean_Data!T16</f>
        <v>0</v>
      </c>
      <c r="U16" t="str">
        <f>Clean_Data!U16</f>
        <v>FLAT</v>
      </c>
      <c r="V16">
        <f t="shared" si="2"/>
        <v>2</v>
      </c>
      <c r="W16">
        <f t="shared" si="3"/>
        <v>2</v>
      </c>
      <c r="X16">
        <f t="shared" si="4"/>
        <v>0</v>
      </c>
      <c r="Y16">
        <f t="shared" si="5"/>
        <v>0</v>
      </c>
      <c r="Z16">
        <f t="shared" si="6"/>
        <v>-2</v>
      </c>
      <c r="AA16">
        <f t="shared" si="7"/>
        <v>0</v>
      </c>
      <c r="AB16">
        <f t="shared" si="8"/>
        <v>0</v>
      </c>
      <c r="AC16">
        <f t="shared" si="9"/>
        <v>-2</v>
      </c>
      <c r="AD16">
        <f t="shared" si="10"/>
        <v>0</v>
      </c>
    </row>
    <row r="17" spans="1:30" x14ac:dyDescent="0.25">
      <c r="A17" t="str">
        <f>Clean_Data!A17</f>
        <v>5</v>
      </c>
      <c r="B17" t="str">
        <f>Clean_Data!B17</f>
        <v>ST MICHAEL'S SCHOOL FOR GIRLS</v>
      </c>
      <c r="C17" t="str">
        <f>Clean_Data!C17</f>
        <v>3/12/2025, 10:21:18 PM</v>
      </c>
      <c r="D17" t="str">
        <f>Clean_Data!D17</f>
        <v>SMED0000000354</v>
      </c>
      <c r="E17" t="str">
        <f>Clean_Data!E17</f>
        <v>69306a86fd4e190db77fe493</v>
      </c>
      <c r="F17">
        <f>Clean_Data!F17</f>
        <v>74150</v>
      </c>
      <c r="G17">
        <f>Clean_Data!G17</f>
        <v>74152.36</v>
      </c>
      <c r="H17" t="str">
        <f>Clean_Data!H17</f>
        <v>upi</v>
      </c>
      <c r="I17" t="str">
        <f>Clean_Data!I17</f>
        <v>Others</v>
      </c>
      <c r="J17" t="str">
        <f>Clean_Data!J17</f>
        <v>SUCCESS</v>
      </c>
      <c r="K17" t="str">
        <f>Clean_Data!K17</f>
        <v>AANUSAH REZA</v>
      </c>
      <c r="L17" t="str">
        <f>Clean_Data!L17</f>
        <v/>
      </c>
      <c r="M17" t="str">
        <f>Clean_Data!M17</f>
        <v>NA</v>
      </c>
      <c r="N17" t="str">
        <f>Clean_Data!N17</f>
        <v>EDVIRON_EASEBUZZ</v>
      </c>
      <c r="O17" t="str">
        <f>Clean_Data!O17</f>
        <v/>
      </c>
      <c r="P17">
        <f>Clean_Data!P17</f>
        <v>2</v>
      </c>
      <c r="Q17" t="str">
        <f>Clean_Data!Q17</f>
        <v>FLAT</v>
      </c>
      <c r="R17">
        <f>Clean_Data!R17</f>
        <v>2</v>
      </c>
      <c r="S17" t="str">
        <f>Clean_Data!S17</f>
        <v>FLAT</v>
      </c>
      <c r="T17">
        <f>Clean_Data!T17</f>
        <v>0</v>
      </c>
      <c r="U17" t="str">
        <f>Clean_Data!U17</f>
        <v>FLAT</v>
      </c>
      <c r="V17">
        <f t="shared" si="2"/>
        <v>2</v>
      </c>
      <c r="W17">
        <f t="shared" si="3"/>
        <v>2</v>
      </c>
      <c r="X17">
        <f t="shared" si="4"/>
        <v>0</v>
      </c>
      <c r="Y17">
        <f t="shared" si="5"/>
        <v>0</v>
      </c>
      <c r="Z17">
        <f t="shared" si="6"/>
        <v>-2</v>
      </c>
      <c r="AA17">
        <f t="shared" si="7"/>
        <v>0</v>
      </c>
      <c r="AB17">
        <f t="shared" si="8"/>
        <v>0</v>
      </c>
      <c r="AC17">
        <f t="shared" si="9"/>
        <v>-2</v>
      </c>
      <c r="AD17">
        <f t="shared" si="10"/>
        <v>0</v>
      </c>
    </row>
    <row r="18" spans="1:30" x14ac:dyDescent="0.25">
      <c r="A18" t="str">
        <f>Clean_Data!A18</f>
        <v>6</v>
      </c>
      <c r="B18" t="str">
        <f>Clean_Data!B18</f>
        <v>ST MICHAEL'S SCHOOL FOR GIRLS</v>
      </c>
      <c r="C18" t="str">
        <f>Clean_Data!C18</f>
        <v>5/12/2025, 12:07:17 PM</v>
      </c>
      <c r="D18" t="str">
        <f>Clean_Data!D18</f>
        <v>SMED0000000362</v>
      </c>
      <c r="E18" t="str">
        <f>Clean_Data!E18</f>
        <v>69327d9d3ba018b7e9e5aca0</v>
      </c>
      <c r="F18">
        <f>Clean_Data!F18</f>
        <v>10350</v>
      </c>
      <c r="G18">
        <f>Clean_Data!G18</f>
        <v>10352.36</v>
      </c>
      <c r="H18" t="str">
        <f>Clean_Data!H18</f>
        <v>upi</v>
      </c>
      <c r="I18" t="str">
        <f>Clean_Data!I18</f>
        <v>-</v>
      </c>
      <c r="J18" t="str">
        <f>Clean_Data!J18</f>
        <v>SUCCESS</v>
      </c>
      <c r="K18" t="str">
        <f>Clean_Data!K18</f>
        <v>DIVISHA BANERJEE</v>
      </c>
      <c r="L18" t="str">
        <f>Clean_Data!L18</f>
        <v/>
      </c>
      <c r="M18" t="str">
        <f>Clean_Data!M18</f>
        <v>NA</v>
      </c>
      <c r="N18" t="str">
        <f>Clean_Data!N18</f>
        <v>EDVIRON_EASEBUZZ</v>
      </c>
      <c r="O18" t="str">
        <f>Clean_Data!O18</f>
        <v/>
      </c>
      <c r="P18">
        <f>Clean_Data!P18</f>
        <v>2</v>
      </c>
      <c r="Q18" t="str">
        <f>Clean_Data!Q18</f>
        <v>FLAT</v>
      </c>
      <c r="R18">
        <f>Clean_Data!R18</f>
        <v>2</v>
      </c>
      <c r="S18" t="str">
        <f>Clean_Data!S18</f>
        <v>FLAT</v>
      </c>
      <c r="T18">
        <f>Clean_Data!T18</f>
        <v>0</v>
      </c>
      <c r="U18" t="str">
        <f>Clean_Data!U18</f>
        <v>FLAT</v>
      </c>
      <c r="V18">
        <f t="shared" si="2"/>
        <v>2</v>
      </c>
      <c r="W18">
        <f t="shared" si="3"/>
        <v>2</v>
      </c>
      <c r="X18">
        <f t="shared" si="4"/>
        <v>0</v>
      </c>
      <c r="Y18">
        <f t="shared" si="5"/>
        <v>0</v>
      </c>
      <c r="Z18">
        <f t="shared" si="6"/>
        <v>-2</v>
      </c>
      <c r="AA18">
        <f t="shared" si="7"/>
        <v>0</v>
      </c>
      <c r="AB18">
        <f t="shared" si="8"/>
        <v>0</v>
      </c>
      <c r="AC18">
        <f t="shared" si="9"/>
        <v>-2</v>
      </c>
      <c r="AD18">
        <f t="shared" si="10"/>
        <v>0</v>
      </c>
    </row>
    <row r="19" spans="1:30" x14ac:dyDescent="0.25">
      <c r="A19" t="str">
        <f>Clean_Data!A19</f>
        <v>7</v>
      </c>
      <c r="B19" t="str">
        <f>Clean_Data!B19</f>
        <v>ST MICHAEL'S SCHOOL FOR GIRLS</v>
      </c>
      <c r="C19" t="str">
        <f>Clean_Data!C19</f>
        <v>6/12/2025, 7:49:59 AM</v>
      </c>
      <c r="D19" t="str">
        <f>Clean_Data!D19</f>
        <v>SMED0000000366</v>
      </c>
      <c r="E19" t="str">
        <f>Clean_Data!E19</f>
        <v>693392cfef53c64bd04b097e</v>
      </c>
      <c r="F19">
        <f>Clean_Data!F19</f>
        <v>10350</v>
      </c>
      <c r="G19">
        <f>Clean_Data!G19</f>
        <v>10352.36</v>
      </c>
      <c r="H19" t="str">
        <f>Clean_Data!H19</f>
        <v>upi</v>
      </c>
      <c r="I19" t="str">
        <f>Clean_Data!I19</f>
        <v>Others</v>
      </c>
      <c r="J19" t="str">
        <f>Clean_Data!J19</f>
        <v>SUCCESS</v>
      </c>
      <c r="K19" t="str">
        <f>Clean_Data!K19</f>
        <v>WRIDDHIMA SANTRA</v>
      </c>
      <c r="L19" t="str">
        <f>Clean_Data!L19</f>
        <v/>
      </c>
      <c r="M19" t="str">
        <f>Clean_Data!M19</f>
        <v>NA</v>
      </c>
      <c r="N19" t="str">
        <f>Clean_Data!N19</f>
        <v>EDVIRON_EASEBUZZ</v>
      </c>
      <c r="O19" t="str">
        <f>Clean_Data!O19</f>
        <v/>
      </c>
      <c r="P19">
        <f>Clean_Data!P19</f>
        <v>2</v>
      </c>
      <c r="Q19" t="str">
        <f>Clean_Data!Q19</f>
        <v>FLAT</v>
      </c>
      <c r="R19">
        <f>Clean_Data!R19</f>
        <v>2</v>
      </c>
      <c r="S19" t="str">
        <f>Clean_Data!S19</f>
        <v>FLAT</v>
      </c>
      <c r="T19">
        <f>Clean_Data!T19</f>
        <v>0</v>
      </c>
      <c r="U19" t="str">
        <f>Clean_Data!U19</f>
        <v>FLAT</v>
      </c>
      <c r="V19">
        <f t="shared" si="2"/>
        <v>2</v>
      </c>
      <c r="W19">
        <f t="shared" si="3"/>
        <v>2</v>
      </c>
      <c r="X19">
        <f t="shared" si="4"/>
        <v>0</v>
      </c>
      <c r="Y19">
        <f t="shared" si="5"/>
        <v>0</v>
      </c>
      <c r="Z19">
        <f t="shared" si="6"/>
        <v>-2</v>
      </c>
      <c r="AA19">
        <f t="shared" si="7"/>
        <v>0</v>
      </c>
      <c r="AB19">
        <f t="shared" si="8"/>
        <v>0</v>
      </c>
      <c r="AC19">
        <f t="shared" si="9"/>
        <v>-2</v>
      </c>
      <c r="AD19">
        <f t="shared" si="10"/>
        <v>0</v>
      </c>
    </row>
    <row r="20" spans="1:30" x14ac:dyDescent="0.25">
      <c r="A20" t="str">
        <f>Clean_Data!A20</f>
        <v>8</v>
      </c>
      <c r="B20" t="str">
        <f>Clean_Data!B20</f>
        <v>ST MICHAEL'S SCHOOL FOR GIRLS</v>
      </c>
      <c r="C20" t="str">
        <f>Clean_Data!C20</f>
        <v>6/12/2025, 1:22:07 PM</v>
      </c>
      <c r="D20" t="str">
        <f>Clean_Data!D20</f>
        <v>SMED0000000369</v>
      </c>
      <c r="E20" t="str">
        <f>Clean_Data!E20</f>
        <v>6933e0a7ef53c64bd04d3ecb</v>
      </c>
      <c r="F20">
        <f>Clean_Data!F20</f>
        <v>34325</v>
      </c>
      <c r="G20">
        <f>Clean_Data!G20</f>
        <v>34327.360000000001</v>
      </c>
      <c r="H20" t="str">
        <f>Clean_Data!H20</f>
        <v>upi</v>
      </c>
      <c r="I20" t="str">
        <f>Clean_Data!I20</f>
        <v>-</v>
      </c>
      <c r="J20" t="str">
        <f>Clean_Data!J20</f>
        <v>SUCCESS</v>
      </c>
      <c r="K20" t="str">
        <f>Clean_Data!K20</f>
        <v>TRIPA AGARWAL</v>
      </c>
      <c r="L20" t="str">
        <f>Clean_Data!L20</f>
        <v/>
      </c>
      <c r="M20" t="str">
        <f>Clean_Data!M20</f>
        <v>NA</v>
      </c>
      <c r="N20" t="str">
        <f>Clean_Data!N20</f>
        <v>EDVIRON_EASEBUZZ</v>
      </c>
      <c r="O20" t="str">
        <f>Clean_Data!O20</f>
        <v/>
      </c>
      <c r="P20">
        <f>Clean_Data!P20</f>
        <v>2</v>
      </c>
      <c r="Q20" t="str">
        <f>Clean_Data!Q20</f>
        <v>FLAT</v>
      </c>
      <c r="R20">
        <f>Clean_Data!R20</f>
        <v>2</v>
      </c>
      <c r="S20" t="str">
        <f>Clean_Data!S20</f>
        <v>FLAT</v>
      </c>
      <c r="T20">
        <f>Clean_Data!T20</f>
        <v>0</v>
      </c>
      <c r="U20" t="str">
        <f>Clean_Data!U20</f>
        <v>FLAT</v>
      </c>
      <c r="V20">
        <f t="shared" si="2"/>
        <v>2</v>
      </c>
      <c r="W20">
        <f t="shared" si="3"/>
        <v>2</v>
      </c>
      <c r="X20">
        <f t="shared" si="4"/>
        <v>0</v>
      </c>
      <c r="Y20">
        <f t="shared" si="5"/>
        <v>0</v>
      </c>
      <c r="Z20">
        <f t="shared" si="6"/>
        <v>-2</v>
      </c>
      <c r="AA20">
        <f t="shared" si="7"/>
        <v>0</v>
      </c>
      <c r="AB20">
        <f t="shared" si="8"/>
        <v>0</v>
      </c>
      <c r="AC20">
        <f t="shared" si="9"/>
        <v>-2</v>
      </c>
      <c r="AD20">
        <f t="shared" si="10"/>
        <v>0</v>
      </c>
    </row>
    <row r="21" spans="1:30" x14ac:dyDescent="0.25">
      <c r="A21" t="str">
        <f>Clean_Data!A21</f>
        <v>9</v>
      </c>
      <c r="B21" t="str">
        <f>Clean_Data!B21</f>
        <v>ST MICHAEL'S SCHOOL FOR GIRLS</v>
      </c>
      <c r="C21" t="str">
        <f>Clean_Data!C21</f>
        <v>7/12/2025, 11:55:56 AM</v>
      </c>
      <c r="D21" t="str">
        <f>Clean_Data!D21</f>
        <v>SMED0000000372</v>
      </c>
      <c r="E21" t="str">
        <f>Clean_Data!E21</f>
        <v>69351df4ef53c64bd052086e</v>
      </c>
      <c r="F21">
        <f>Clean_Data!F21</f>
        <v>10950</v>
      </c>
      <c r="G21">
        <f>Clean_Data!G21</f>
        <v>10952.36</v>
      </c>
      <c r="H21" t="str">
        <f>Clean_Data!H21</f>
        <v>upi</v>
      </c>
      <c r="I21" t="str">
        <f>Clean_Data!I21</f>
        <v>Others</v>
      </c>
      <c r="J21" t="str">
        <f>Clean_Data!J21</f>
        <v>SUCCESS</v>
      </c>
      <c r="K21" t="str">
        <f>Clean_Data!K21</f>
        <v>KAVYA MAHTO</v>
      </c>
      <c r="L21" t="str">
        <f>Clean_Data!L21</f>
        <v/>
      </c>
      <c r="M21" t="str">
        <f>Clean_Data!M21</f>
        <v>NA</v>
      </c>
      <c r="N21" t="str">
        <f>Clean_Data!N21</f>
        <v>EDVIRON_EASEBUZZ</v>
      </c>
      <c r="O21" t="str">
        <f>Clean_Data!O21</f>
        <v/>
      </c>
      <c r="P21">
        <f>Clean_Data!P21</f>
        <v>2</v>
      </c>
      <c r="Q21" t="str">
        <f>Clean_Data!Q21</f>
        <v>FLAT</v>
      </c>
      <c r="R21">
        <f>Clean_Data!R21</f>
        <v>2</v>
      </c>
      <c r="S21" t="str">
        <f>Clean_Data!S21</f>
        <v>FLAT</v>
      </c>
      <c r="T21">
        <f>Clean_Data!T21</f>
        <v>0</v>
      </c>
      <c r="U21" t="str">
        <f>Clean_Data!U21</f>
        <v>FLAT</v>
      </c>
      <c r="V21">
        <f t="shared" si="2"/>
        <v>2</v>
      </c>
      <c r="W21">
        <f t="shared" si="3"/>
        <v>2</v>
      </c>
      <c r="X21">
        <f t="shared" si="4"/>
        <v>0</v>
      </c>
      <c r="Y21">
        <f t="shared" si="5"/>
        <v>0</v>
      </c>
      <c r="Z21">
        <f t="shared" si="6"/>
        <v>-2</v>
      </c>
      <c r="AA21">
        <f t="shared" si="7"/>
        <v>0</v>
      </c>
      <c r="AB21">
        <f t="shared" si="8"/>
        <v>0</v>
      </c>
      <c r="AC21">
        <f t="shared" si="9"/>
        <v>-2</v>
      </c>
      <c r="AD21">
        <f t="shared" si="10"/>
        <v>0</v>
      </c>
    </row>
    <row r="22" spans="1:30" x14ac:dyDescent="0.25">
      <c r="A22" t="str">
        <f>Clean_Data!A22</f>
        <v>10</v>
      </c>
      <c r="B22" t="str">
        <f>Clean_Data!B22</f>
        <v>ST MICHAEL'S SCHOOL FOR GIRLS</v>
      </c>
      <c r="C22" t="str">
        <f>Clean_Data!C22</f>
        <v>7/12/2025, 1:29:35 PM</v>
      </c>
      <c r="D22" t="str">
        <f>Clean_Data!D22</f>
        <v>SMED0000000373</v>
      </c>
      <c r="E22" t="str">
        <f>Clean_Data!E22</f>
        <v>693533e7ef53c64bd0525adc</v>
      </c>
      <c r="F22">
        <f>Clean_Data!F22</f>
        <v>10350</v>
      </c>
      <c r="G22">
        <f>Clean_Data!G22</f>
        <v>10352.36</v>
      </c>
      <c r="H22" t="str">
        <f>Clean_Data!H22</f>
        <v>upi</v>
      </c>
      <c r="I22" t="str">
        <f>Clean_Data!I22</f>
        <v>-</v>
      </c>
      <c r="J22" t="str">
        <f>Clean_Data!J22</f>
        <v>SUCCESS</v>
      </c>
      <c r="K22" t="str">
        <f>Clean_Data!K22</f>
        <v>YUVIKA AGARWAL</v>
      </c>
      <c r="L22" t="str">
        <f>Clean_Data!L22</f>
        <v/>
      </c>
      <c r="M22" t="str">
        <f>Clean_Data!M22</f>
        <v>NA</v>
      </c>
      <c r="N22" t="str">
        <f>Clean_Data!N22</f>
        <v>EDVIRON_EASEBUZZ</v>
      </c>
      <c r="O22" t="str">
        <f>Clean_Data!O22</f>
        <v/>
      </c>
      <c r="P22">
        <f>Clean_Data!P22</f>
        <v>2</v>
      </c>
      <c r="Q22" t="str">
        <f>Clean_Data!Q22</f>
        <v>FLAT</v>
      </c>
      <c r="R22">
        <f>Clean_Data!R22</f>
        <v>2</v>
      </c>
      <c r="S22" t="str">
        <f>Clean_Data!S22</f>
        <v>FLAT</v>
      </c>
      <c r="T22">
        <f>Clean_Data!T22</f>
        <v>0</v>
      </c>
      <c r="U22" t="str">
        <f>Clean_Data!U22</f>
        <v>FLAT</v>
      </c>
      <c r="V22">
        <f t="shared" si="2"/>
        <v>2</v>
      </c>
      <c r="W22">
        <f t="shared" si="3"/>
        <v>2</v>
      </c>
      <c r="X22">
        <f t="shared" si="4"/>
        <v>0</v>
      </c>
      <c r="Y22">
        <f t="shared" si="5"/>
        <v>0</v>
      </c>
      <c r="Z22">
        <f t="shared" si="6"/>
        <v>-2</v>
      </c>
      <c r="AA22">
        <f t="shared" si="7"/>
        <v>0</v>
      </c>
      <c r="AB22">
        <f t="shared" si="8"/>
        <v>0</v>
      </c>
      <c r="AC22">
        <f t="shared" si="9"/>
        <v>-2</v>
      </c>
      <c r="AD22">
        <f t="shared" si="10"/>
        <v>0</v>
      </c>
    </row>
    <row r="23" spans="1:30" x14ac:dyDescent="0.25">
      <c r="A23" t="str">
        <f>Clean_Data!A23</f>
        <v>12</v>
      </c>
      <c r="B23" t="str">
        <f>Clean_Data!B23</f>
        <v>ST MICHAEL'S SCHOOL FOR GIRLS</v>
      </c>
      <c r="C23" t="str">
        <f>Clean_Data!C23</f>
        <v>8/12/2025, 7:38:40 AM</v>
      </c>
      <c r="D23" t="str">
        <f>Clean_Data!D23</f>
        <v>SMED0000000375</v>
      </c>
      <c r="E23" t="str">
        <f>Clean_Data!E23</f>
        <v>69363328ef53c64bd05736b9</v>
      </c>
      <c r="F23">
        <f>Clean_Data!F23</f>
        <v>34325</v>
      </c>
      <c r="G23">
        <f>Clean_Data!G23</f>
        <v>34327.360000000001</v>
      </c>
      <c r="H23" t="str">
        <f>Clean_Data!H23</f>
        <v>upi</v>
      </c>
      <c r="I23" t="str">
        <f>Clean_Data!I23</f>
        <v>-</v>
      </c>
      <c r="J23" t="str">
        <f>Clean_Data!J23</f>
        <v>SUCCESS</v>
      </c>
      <c r="K23" t="str">
        <f>Clean_Data!K23</f>
        <v>FRIYA AGARWAL</v>
      </c>
      <c r="L23" t="str">
        <f>Clean_Data!L23</f>
        <v/>
      </c>
      <c r="M23" t="str">
        <f>Clean_Data!M23</f>
        <v>NA</v>
      </c>
      <c r="N23" t="str">
        <f>Clean_Data!N23</f>
        <v>EDVIRON_EASEBUZZ</v>
      </c>
      <c r="O23" t="str">
        <f>Clean_Data!O23</f>
        <v/>
      </c>
      <c r="P23">
        <f>Clean_Data!P23</f>
        <v>2</v>
      </c>
      <c r="Q23" t="str">
        <f>Clean_Data!Q23</f>
        <v>FLAT</v>
      </c>
      <c r="R23">
        <f>Clean_Data!R23</f>
        <v>2</v>
      </c>
      <c r="S23" t="str">
        <f>Clean_Data!S23</f>
        <v>FLAT</v>
      </c>
      <c r="T23">
        <f>Clean_Data!T23</f>
        <v>0</v>
      </c>
      <c r="U23" t="str">
        <f>Clean_Data!U23</f>
        <v>FLAT</v>
      </c>
      <c r="V23">
        <f t="shared" si="2"/>
        <v>2</v>
      </c>
      <c r="W23">
        <f t="shared" si="3"/>
        <v>2</v>
      </c>
      <c r="X23">
        <f t="shared" si="4"/>
        <v>0</v>
      </c>
      <c r="Y23">
        <f t="shared" si="5"/>
        <v>0</v>
      </c>
      <c r="Z23">
        <f t="shared" si="6"/>
        <v>-2</v>
      </c>
      <c r="AA23">
        <f t="shared" si="7"/>
        <v>0</v>
      </c>
      <c r="AB23">
        <f t="shared" si="8"/>
        <v>0</v>
      </c>
      <c r="AC23">
        <f t="shared" si="9"/>
        <v>-2</v>
      </c>
      <c r="AD23">
        <f t="shared" si="10"/>
        <v>0</v>
      </c>
    </row>
    <row r="24" spans="1:30" x14ac:dyDescent="0.25">
      <c r="A24" t="str">
        <f>Clean_Data!A24</f>
        <v>13</v>
      </c>
      <c r="B24" t="str">
        <f>Clean_Data!B24</f>
        <v>ST MICHAEL'S SCHOOL FOR GIRLS</v>
      </c>
      <c r="C24" t="str">
        <f>Clean_Data!C24</f>
        <v>8/12/2025, 9:08:54 AM</v>
      </c>
      <c r="D24" t="str">
        <f>Clean_Data!D24</f>
        <v>SMED0000000377</v>
      </c>
      <c r="E24" t="str">
        <f>Clean_Data!E24</f>
        <v>6936484eef53c64bd05830eb</v>
      </c>
      <c r="F24">
        <f>Clean_Data!F24</f>
        <v>10950</v>
      </c>
      <c r="G24">
        <f>Clean_Data!G24</f>
        <v>10952.36</v>
      </c>
      <c r="H24" t="str">
        <f>Clean_Data!H24</f>
        <v>upi</v>
      </c>
      <c r="I24" t="str">
        <f>Clean_Data!I24</f>
        <v>-</v>
      </c>
      <c r="J24" t="str">
        <f>Clean_Data!J24</f>
        <v>SUCCESS</v>
      </c>
      <c r="K24" t="str">
        <f>Clean_Data!K24</f>
        <v>SHANAYA CHIRANIA</v>
      </c>
      <c r="L24" t="str">
        <f>Clean_Data!L24</f>
        <v/>
      </c>
      <c r="M24" t="str">
        <f>Clean_Data!M24</f>
        <v>NA</v>
      </c>
      <c r="N24" t="str">
        <f>Clean_Data!N24</f>
        <v>EDVIRON_EASEBUZZ</v>
      </c>
      <c r="O24" t="str">
        <f>Clean_Data!O24</f>
        <v/>
      </c>
      <c r="P24">
        <f>Clean_Data!P24</f>
        <v>2</v>
      </c>
      <c r="Q24" t="str">
        <f>Clean_Data!Q24</f>
        <v>FLAT</v>
      </c>
      <c r="R24">
        <f>Clean_Data!R24</f>
        <v>2</v>
      </c>
      <c r="S24" t="str">
        <f>Clean_Data!S24</f>
        <v>FLAT</v>
      </c>
      <c r="T24">
        <f>Clean_Data!T24</f>
        <v>0</v>
      </c>
      <c r="U24" t="str">
        <f>Clean_Data!U24</f>
        <v>FLAT</v>
      </c>
      <c r="V24">
        <f t="shared" si="2"/>
        <v>2</v>
      </c>
      <c r="W24">
        <f t="shared" si="3"/>
        <v>2</v>
      </c>
      <c r="X24">
        <f t="shared" si="4"/>
        <v>0</v>
      </c>
      <c r="Y24">
        <f t="shared" si="5"/>
        <v>0</v>
      </c>
      <c r="Z24">
        <f t="shared" si="6"/>
        <v>-2</v>
      </c>
      <c r="AA24">
        <f t="shared" si="7"/>
        <v>0</v>
      </c>
      <c r="AB24">
        <f t="shared" si="8"/>
        <v>0</v>
      </c>
      <c r="AC24">
        <f t="shared" si="9"/>
        <v>-2</v>
      </c>
      <c r="AD24">
        <f t="shared" si="10"/>
        <v>0</v>
      </c>
    </row>
    <row r="25" spans="1:30" x14ac:dyDescent="0.25">
      <c r="A25" t="str">
        <f>Clean_Data!A25</f>
        <v>14</v>
      </c>
      <c r="B25" t="str">
        <f>Clean_Data!B25</f>
        <v>ST MICHAEL'S SCHOOL FOR GIRLS</v>
      </c>
      <c r="C25" t="str">
        <f>Clean_Data!C25</f>
        <v>8/12/2025, 12:28:54 PM</v>
      </c>
      <c r="D25" t="str">
        <f>Clean_Data!D25</f>
        <v>SMED0000000380</v>
      </c>
      <c r="E25" t="str">
        <f>Clean_Data!E25</f>
        <v>6936772e10c404549b6eb695</v>
      </c>
      <c r="F25">
        <f>Clean_Data!F25</f>
        <v>34325</v>
      </c>
      <c r="G25">
        <f>Clean_Data!G25</f>
        <v>34327.360000000001</v>
      </c>
      <c r="H25" t="str">
        <f>Clean_Data!H25</f>
        <v>upi</v>
      </c>
      <c r="I25" t="str">
        <f>Clean_Data!I25</f>
        <v>Others</v>
      </c>
      <c r="J25" t="str">
        <f>Clean_Data!J25</f>
        <v>SUCCESS</v>
      </c>
      <c r="K25" t="str">
        <f>Clean_Data!K25</f>
        <v>ISHANVI PRADHAN</v>
      </c>
      <c r="L25" t="str">
        <f>Clean_Data!L25</f>
        <v/>
      </c>
      <c r="M25" t="str">
        <f>Clean_Data!M25</f>
        <v>NA</v>
      </c>
      <c r="N25" t="str">
        <f>Clean_Data!N25</f>
        <v>EDVIRON_EASEBUZZ</v>
      </c>
      <c r="O25" t="str">
        <f>Clean_Data!O25</f>
        <v/>
      </c>
      <c r="P25">
        <f>Clean_Data!P25</f>
        <v>2</v>
      </c>
      <c r="Q25" t="str">
        <f>Clean_Data!Q25</f>
        <v>FLAT</v>
      </c>
      <c r="R25">
        <f>Clean_Data!R25</f>
        <v>2</v>
      </c>
      <c r="S25" t="str">
        <f>Clean_Data!S25</f>
        <v>FLAT</v>
      </c>
      <c r="T25">
        <f>Clean_Data!T25</f>
        <v>0</v>
      </c>
      <c r="U25" t="str">
        <f>Clean_Data!U25</f>
        <v>FLAT</v>
      </c>
      <c r="V25">
        <f t="shared" si="2"/>
        <v>2</v>
      </c>
      <c r="W25">
        <f t="shared" si="3"/>
        <v>2</v>
      </c>
      <c r="X25">
        <f t="shared" si="4"/>
        <v>0</v>
      </c>
      <c r="Y25">
        <f t="shared" si="5"/>
        <v>0</v>
      </c>
      <c r="Z25">
        <f t="shared" si="6"/>
        <v>-2</v>
      </c>
      <c r="AA25">
        <f t="shared" si="7"/>
        <v>0</v>
      </c>
      <c r="AB25">
        <f t="shared" si="8"/>
        <v>0</v>
      </c>
      <c r="AC25">
        <f t="shared" si="9"/>
        <v>-2</v>
      </c>
      <c r="AD25">
        <f t="shared" si="10"/>
        <v>0</v>
      </c>
    </row>
    <row r="26" spans="1:30" x14ac:dyDescent="0.25">
      <c r="A26" t="str">
        <f>Clean_Data!A26</f>
        <v>15</v>
      </c>
      <c r="B26" t="str">
        <f>Clean_Data!B26</f>
        <v>ST MICHAEL'S SCHOOL FOR GIRLS</v>
      </c>
      <c r="C26" t="str">
        <f>Clean_Data!C26</f>
        <v>9/12/2025, 12:46:20 PM</v>
      </c>
      <c r="D26" t="str">
        <f>Clean_Data!D26</f>
        <v>SMED0000000381</v>
      </c>
      <c r="E26" t="str">
        <f>Clean_Data!E26</f>
        <v>6937ccc4fab6ff5b0ed38339</v>
      </c>
      <c r="F26">
        <f>Clean_Data!F26</f>
        <v>34325</v>
      </c>
      <c r="G26">
        <f>Clean_Data!G26</f>
        <v>34327.360000000001</v>
      </c>
      <c r="H26" t="str">
        <f>Clean_Data!H26</f>
        <v>upi</v>
      </c>
      <c r="I26" t="str">
        <f>Clean_Data!I26</f>
        <v>-</v>
      </c>
      <c r="J26" t="str">
        <f>Clean_Data!J26</f>
        <v>SUCCESS</v>
      </c>
      <c r="K26" t="str">
        <f>Clean_Data!K26</f>
        <v>RUDRANI SENGUPTA</v>
      </c>
      <c r="L26" t="str">
        <f>Clean_Data!L26</f>
        <v/>
      </c>
      <c r="M26" t="str">
        <f>Clean_Data!M26</f>
        <v>NA</v>
      </c>
      <c r="N26" t="str">
        <f>Clean_Data!N26</f>
        <v>EDVIRON_EASEBUZZ</v>
      </c>
      <c r="O26" t="str">
        <f>Clean_Data!O26</f>
        <v/>
      </c>
      <c r="P26">
        <f>Clean_Data!P26</f>
        <v>2</v>
      </c>
      <c r="Q26" t="str">
        <f>Clean_Data!Q26</f>
        <v>FLAT</v>
      </c>
      <c r="R26">
        <f>Clean_Data!R26</f>
        <v>2</v>
      </c>
      <c r="S26" t="str">
        <f>Clean_Data!S26</f>
        <v>FLAT</v>
      </c>
      <c r="T26">
        <f>Clean_Data!T26</f>
        <v>0</v>
      </c>
      <c r="U26" t="str">
        <f>Clean_Data!U26</f>
        <v>FLAT</v>
      </c>
      <c r="V26">
        <f t="shared" si="2"/>
        <v>2</v>
      </c>
      <c r="W26">
        <f t="shared" si="3"/>
        <v>2</v>
      </c>
      <c r="X26">
        <f t="shared" si="4"/>
        <v>0</v>
      </c>
      <c r="Y26">
        <f t="shared" si="5"/>
        <v>0</v>
      </c>
      <c r="Z26">
        <f t="shared" si="6"/>
        <v>-2</v>
      </c>
      <c r="AA26">
        <f t="shared" si="7"/>
        <v>0</v>
      </c>
      <c r="AB26">
        <f t="shared" si="8"/>
        <v>0</v>
      </c>
      <c r="AC26">
        <f t="shared" si="9"/>
        <v>-2</v>
      </c>
      <c r="AD26">
        <f t="shared" si="10"/>
        <v>0</v>
      </c>
    </row>
    <row r="27" spans="1:30" x14ac:dyDescent="0.25">
      <c r="A27" t="str">
        <f>Clean_Data!A27</f>
        <v>18</v>
      </c>
      <c r="B27" t="str">
        <f>Clean_Data!B27</f>
        <v>ST MICHAEL'S SCHOOL FOR GIRLS</v>
      </c>
      <c r="C27" t="str">
        <f>Clean_Data!C27</f>
        <v>13/12/2025, 10:23:18 am</v>
      </c>
      <c r="D27" t="str">
        <f>Clean_Data!D27</f>
        <v>SMED0000000391</v>
      </c>
      <c r="E27" t="str">
        <f>Clean_Data!E27</f>
        <v>693cf13e7dc8450efa2e354d</v>
      </c>
      <c r="F27">
        <f>Clean_Data!F27</f>
        <v>10350</v>
      </c>
      <c r="G27">
        <f>Clean_Data!G27</f>
        <v>10352.36</v>
      </c>
      <c r="H27" t="str">
        <f>Clean_Data!H27</f>
        <v>upi</v>
      </c>
      <c r="I27" t="str">
        <f>Clean_Data!I27</f>
        <v>Others</v>
      </c>
      <c r="J27" t="str">
        <f>Clean_Data!J27</f>
        <v>success</v>
      </c>
      <c r="K27" t="str">
        <f>Clean_Data!K27</f>
        <v>SANBI HALDER</v>
      </c>
      <c r="L27" t="str">
        <f>Clean_Data!L27</f>
        <v/>
      </c>
      <c r="M27" t="str">
        <f>Clean_Data!M27</f>
        <v>NA</v>
      </c>
      <c r="N27" t="str">
        <f>Clean_Data!N27</f>
        <v>EDVIRON_EASEBUZZ</v>
      </c>
      <c r="O27" t="str">
        <f>Clean_Data!O27</f>
        <v/>
      </c>
      <c r="P27">
        <f>Clean_Data!P27</f>
        <v>2</v>
      </c>
      <c r="Q27" t="str">
        <f>Clean_Data!Q27</f>
        <v>FLAT</v>
      </c>
      <c r="R27">
        <f>Clean_Data!R27</f>
        <v>2</v>
      </c>
      <c r="S27" t="str">
        <f>Clean_Data!S27</f>
        <v>FLAT</v>
      </c>
      <c r="T27">
        <f>Clean_Data!T27</f>
        <v>0</v>
      </c>
      <c r="U27" t="str">
        <f>Clean_Data!U27</f>
        <v>FLAT</v>
      </c>
      <c r="V27">
        <f t="shared" si="2"/>
        <v>2</v>
      </c>
      <c r="W27">
        <f t="shared" si="3"/>
        <v>2</v>
      </c>
      <c r="X27">
        <f t="shared" si="4"/>
        <v>0</v>
      </c>
      <c r="Y27">
        <f t="shared" si="5"/>
        <v>0</v>
      </c>
      <c r="Z27">
        <f t="shared" si="6"/>
        <v>-2</v>
      </c>
      <c r="AA27">
        <f t="shared" si="7"/>
        <v>0</v>
      </c>
      <c r="AB27">
        <f t="shared" si="8"/>
        <v>0</v>
      </c>
      <c r="AC27">
        <f t="shared" si="9"/>
        <v>-2</v>
      </c>
      <c r="AD27">
        <f t="shared" si="10"/>
        <v>0</v>
      </c>
    </row>
    <row r="28" spans="1:30" x14ac:dyDescent="0.25">
      <c r="A28" t="str">
        <f>Clean_Data!A28</f>
        <v>19</v>
      </c>
      <c r="B28" t="str">
        <f>Clean_Data!B28</f>
        <v>ST MICHAEL'S SCHOOL FOR GIRLS</v>
      </c>
      <c r="C28" t="str">
        <f>Clean_Data!C28</f>
        <v>13/12/2025, 11:07:16 am</v>
      </c>
      <c r="D28" t="str">
        <f>Clean_Data!D28</f>
        <v>SMED0000000395</v>
      </c>
      <c r="E28" t="str">
        <f>Clean_Data!E28</f>
        <v>693cfb8c7dc8450efa2e6e60</v>
      </c>
      <c r="F28">
        <f>Clean_Data!F28</f>
        <v>34325</v>
      </c>
      <c r="G28">
        <f>Clean_Data!G28</f>
        <v>34327.360000000001</v>
      </c>
      <c r="H28" t="str">
        <f>Clean_Data!H28</f>
        <v>upi</v>
      </c>
      <c r="I28" t="str">
        <f>Clean_Data!I28</f>
        <v>Others</v>
      </c>
      <c r="J28" t="str">
        <f>Clean_Data!J28</f>
        <v>success</v>
      </c>
      <c r="K28" t="str">
        <f>Clean_Data!K28</f>
        <v>KHUSI ROY</v>
      </c>
      <c r="L28" t="str">
        <f>Clean_Data!L28</f>
        <v/>
      </c>
      <c r="M28" t="str">
        <f>Clean_Data!M28</f>
        <v>NA</v>
      </c>
      <c r="N28" t="str">
        <f>Clean_Data!N28</f>
        <v>EDVIRON_EASEBUZZ</v>
      </c>
      <c r="O28" t="str">
        <f>Clean_Data!O28</f>
        <v/>
      </c>
      <c r="P28">
        <f>Clean_Data!P28</f>
        <v>2</v>
      </c>
      <c r="Q28" t="str">
        <f>Clean_Data!Q28</f>
        <v>FLAT</v>
      </c>
      <c r="R28">
        <f>Clean_Data!R28</f>
        <v>2</v>
      </c>
      <c r="S28" t="str">
        <f>Clean_Data!S28</f>
        <v>FLAT</v>
      </c>
      <c r="T28">
        <f>Clean_Data!T28</f>
        <v>0</v>
      </c>
      <c r="U28" t="str">
        <f>Clean_Data!U28</f>
        <v>FLAT</v>
      </c>
      <c r="V28">
        <f t="shared" si="2"/>
        <v>2</v>
      </c>
      <c r="W28">
        <f t="shared" si="3"/>
        <v>2</v>
      </c>
      <c r="X28">
        <f t="shared" si="4"/>
        <v>0</v>
      </c>
      <c r="Y28">
        <f t="shared" si="5"/>
        <v>0</v>
      </c>
      <c r="Z28">
        <f t="shared" si="6"/>
        <v>-2</v>
      </c>
      <c r="AA28">
        <f t="shared" si="7"/>
        <v>0</v>
      </c>
      <c r="AB28">
        <f t="shared" si="8"/>
        <v>0</v>
      </c>
      <c r="AC28">
        <f t="shared" si="9"/>
        <v>-2</v>
      </c>
      <c r="AD28">
        <f t="shared" si="10"/>
        <v>0</v>
      </c>
    </row>
    <row r="29" spans="1:30" x14ac:dyDescent="0.25">
      <c r="A29" t="str">
        <f>Clean_Data!A29</f>
        <v>20</v>
      </c>
      <c r="B29" t="str">
        <f>Clean_Data!B29</f>
        <v>ST MICHAEL'S SCHOOL FOR GIRLS</v>
      </c>
      <c r="C29" t="str">
        <f>Clean_Data!C29</f>
        <v>15/12/2025, 2:08:52 pm</v>
      </c>
      <c r="D29" t="str">
        <f>Clean_Data!D29</f>
        <v>SMED0000000396</v>
      </c>
      <c r="E29" t="str">
        <f>Clean_Data!E29</f>
        <v>693fc91c7fde54e8f0f752ed</v>
      </c>
      <c r="F29">
        <f>Clean_Data!F29</f>
        <v>10950</v>
      </c>
      <c r="G29">
        <f>Clean_Data!G29</f>
        <v>10952.36</v>
      </c>
      <c r="H29" t="str">
        <f>Clean_Data!H29</f>
        <v>upi</v>
      </c>
      <c r="I29" t="str">
        <f>Clean_Data!I29</f>
        <v>Others</v>
      </c>
      <c r="J29" t="str">
        <f>Clean_Data!J29</f>
        <v>success</v>
      </c>
      <c r="K29" t="str">
        <f>Clean_Data!K29</f>
        <v>ALIZA KHAN</v>
      </c>
      <c r="L29" t="str">
        <f>Clean_Data!L29</f>
        <v/>
      </c>
      <c r="M29" t="str">
        <f>Clean_Data!M29</f>
        <v>NA</v>
      </c>
      <c r="N29" t="str">
        <f>Clean_Data!N29</f>
        <v>EDVIRON_EASEBUZZ</v>
      </c>
      <c r="O29" t="str">
        <f>Clean_Data!O29</f>
        <v/>
      </c>
      <c r="P29">
        <f>Clean_Data!P29</f>
        <v>2</v>
      </c>
      <c r="Q29" t="str">
        <f>Clean_Data!Q29</f>
        <v>FLAT</v>
      </c>
      <c r="R29">
        <f>Clean_Data!R29</f>
        <v>2</v>
      </c>
      <c r="S29" t="str">
        <f>Clean_Data!S29</f>
        <v>FLAT</v>
      </c>
      <c r="T29">
        <f>Clean_Data!T29</f>
        <v>0</v>
      </c>
      <c r="U29" t="str">
        <f>Clean_Data!U29</f>
        <v>FLAT</v>
      </c>
      <c r="V29">
        <f t="shared" si="2"/>
        <v>2</v>
      </c>
      <c r="W29">
        <f t="shared" si="3"/>
        <v>2</v>
      </c>
      <c r="X29">
        <f t="shared" si="4"/>
        <v>0</v>
      </c>
      <c r="Y29">
        <f t="shared" si="5"/>
        <v>0</v>
      </c>
      <c r="Z29">
        <f t="shared" si="6"/>
        <v>-2</v>
      </c>
      <c r="AA29">
        <f t="shared" si="7"/>
        <v>0</v>
      </c>
      <c r="AB29">
        <f t="shared" si="8"/>
        <v>0</v>
      </c>
      <c r="AC29">
        <f t="shared" si="9"/>
        <v>-2</v>
      </c>
      <c r="AD29">
        <f t="shared" si="10"/>
        <v>0</v>
      </c>
    </row>
    <row r="30" spans="1:30" x14ac:dyDescent="0.25">
      <c r="A30" t="str">
        <f>Clean_Data!A30</f>
        <v>21</v>
      </c>
      <c r="B30" t="str">
        <f>Clean_Data!B30</f>
        <v>ST MICHAEL'S SCHOOL FOR GIRLS</v>
      </c>
      <c r="C30" t="str">
        <f>Clean_Data!C30</f>
        <v>19/12/2025, 2:48:47 pm</v>
      </c>
      <c r="D30" t="str">
        <f>Clean_Data!D30</f>
        <v>SMED0000000400</v>
      </c>
      <c r="E30" t="str">
        <f>Clean_Data!E30</f>
        <v>69451877cded364e3f821dbc</v>
      </c>
      <c r="F30">
        <f>Clean_Data!F30</f>
        <v>34325</v>
      </c>
      <c r="G30">
        <f>Clean_Data!G30</f>
        <v>34327.360000000001</v>
      </c>
      <c r="H30" t="str">
        <f>Clean_Data!H30</f>
        <v>upi</v>
      </c>
      <c r="I30" t="str">
        <f>Clean_Data!I30</f>
        <v>Others</v>
      </c>
      <c r="J30" t="str">
        <f>Clean_Data!J30</f>
        <v>success</v>
      </c>
      <c r="K30" t="str">
        <f>Clean_Data!K30</f>
        <v>ANU PRIYA</v>
      </c>
      <c r="L30" t="str">
        <f>Clean_Data!L30</f>
        <v/>
      </c>
      <c r="M30" t="str">
        <f>Clean_Data!M30</f>
        <v>NA</v>
      </c>
      <c r="N30" t="str">
        <f>Clean_Data!N30</f>
        <v>EDVIRON_EASEBUZZ</v>
      </c>
      <c r="O30" t="str">
        <f>Clean_Data!O30</f>
        <v/>
      </c>
      <c r="P30">
        <f>Clean_Data!P30</f>
        <v>2</v>
      </c>
      <c r="Q30" t="str">
        <f>Clean_Data!Q30</f>
        <v>FLAT</v>
      </c>
      <c r="R30">
        <f>Clean_Data!R30</f>
        <v>2</v>
      </c>
      <c r="S30" t="str">
        <f>Clean_Data!S30</f>
        <v>FLAT</v>
      </c>
      <c r="T30">
        <f>Clean_Data!T30</f>
        <v>0</v>
      </c>
      <c r="U30" t="str">
        <f>Clean_Data!U30</f>
        <v>FLAT</v>
      </c>
      <c r="V30">
        <f t="shared" si="2"/>
        <v>2</v>
      </c>
      <c r="W30">
        <f t="shared" si="3"/>
        <v>2</v>
      </c>
      <c r="X30">
        <f t="shared" si="4"/>
        <v>0</v>
      </c>
      <c r="Y30">
        <f t="shared" si="5"/>
        <v>0</v>
      </c>
      <c r="Z30">
        <f t="shared" si="6"/>
        <v>-2</v>
      </c>
      <c r="AA30">
        <f t="shared" si="7"/>
        <v>0</v>
      </c>
      <c r="AB30">
        <f t="shared" si="8"/>
        <v>0</v>
      </c>
      <c r="AC30">
        <f t="shared" si="9"/>
        <v>-2</v>
      </c>
      <c r="AD30">
        <f t="shared" si="10"/>
        <v>0</v>
      </c>
    </row>
    <row r="31" spans="1:30" x14ac:dyDescent="0.25">
      <c r="A31" t="str">
        <f>Clean_Data!A31</f>
        <v>22</v>
      </c>
      <c r="B31" t="str">
        <f>Clean_Data!B31</f>
        <v>ST MICHAEL'S SCHOOL FOR GIRLS</v>
      </c>
      <c r="C31" t="str">
        <f>Clean_Data!C31</f>
        <v>19/12/2025, 3:36:26 pm</v>
      </c>
      <c r="D31" t="str">
        <f>Clean_Data!D31</f>
        <v>SMED0000000402</v>
      </c>
      <c r="E31" t="str">
        <f>Clean_Data!E31</f>
        <v>694523a2cded364e3f8240d1</v>
      </c>
      <c r="F31">
        <f>Clean_Data!F31</f>
        <v>72450</v>
      </c>
      <c r="G31">
        <f>Clean_Data!G31</f>
        <v>72452.36</v>
      </c>
      <c r="H31" t="str">
        <f>Clean_Data!H31</f>
        <v>upi</v>
      </c>
      <c r="I31" t="str">
        <f>Clean_Data!I31</f>
        <v>Others</v>
      </c>
      <c r="J31" t="str">
        <f>Clean_Data!J31</f>
        <v>success</v>
      </c>
      <c r="K31" t="str">
        <f>Clean_Data!K31</f>
        <v>TRISIKHA DEBNATH</v>
      </c>
      <c r="L31" t="str">
        <f>Clean_Data!L31</f>
        <v/>
      </c>
      <c r="M31" t="str">
        <f>Clean_Data!M31</f>
        <v>NA</v>
      </c>
      <c r="N31" t="str">
        <f>Clean_Data!N31</f>
        <v>EDVIRON_EASEBUZZ</v>
      </c>
      <c r="O31" t="str">
        <f>Clean_Data!O31</f>
        <v/>
      </c>
      <c r="P31">
        <f>Clean_Data!P31</f>
        <v>2</v>
      </c>
      <c r="Q31" t="str">
        <f>Clean_Data!Q31</f>
        <v>FLAT</v>
      </c>
      <c r="R31">
        <f>Clean_Data!R31</f>
        <v>2</v>
      </c>
      <c r="S31" t="str">
        <f>Clean_Data!S31</f>
        <v>FLAT</v>
      </c>
      <c r="T31">
        <f>Clean_Data!T31</f>
        <v>0</v>
      </c>
      <c r="U31" t="str">
        <f>Clean_Data!U31</f>
        <v>FLAT</v>
      </c>
      <c r="V31">
        <f t="shared" si="2"/>
        <v>2</v>
      </c>
      <c r="W31">
        <f t="shared" si="3"/>
        <v>2</v>
      </c>
      <c r="X31">
        <f t="shared" si="4"/>
        <v>0</v>
      </c>
      <c r="Y31">
        <f t="shared" si="5"/>
        <v>0</v>
      </c>
      <c r="Z31">
        <f t="shared" si="6"/>
        <v>-2</v>
      </c>
      <c r="AA31">
        <f t="shared" si="7"/>
        <v>0</v>
      </c>
      <c r="AB31">
        <f t="shared" si="8"/>
        <v>0</v>
      </c>
      <c r="AC31">
        <f t="shared" si="9"/>
        <v>-2</v>
      </c>
      <c r="AD31">
        <f t="shared" si="10"/>
        <v>0</v>
      </c>
    </row>
    <row r="32" spans="1:30" x14ac:dyDescent="0.25">
      <c r="A32" t="str">
        <f>Clean_Data!A32</f>
        <v>23</v>
      </c>
      <c r="B32" t="str">
        <f>Clean_Data!B32</f>
        <v>ST MICHAEL'S SCHOOL FOR GIRLS</v>
      </c>
      <c r="C32" t="str">
        <f>Clean_Data!C32</f>
        <v>19/12/2025, 6:19:15 pm</v>
      </c>
      <c r="D32" t="str">
        <f>Clean_Data!D32</f>
        <v>SMED0000000403</v>
      </c>
      <c r="E32" t="str">
        <f>Clean_Data!E32</f>
        <v>694549cbcded364e3f82cee1</v>
      </c>
      <c r="F32">
        <f>Clean_Data!F32</f>
        <v>74150</v>
      </c>
      <c r="G32">
        <f>Clean_Data!G32</f>
        <v>74152.36</v>
      </c>
      <c r="H32" t="str">
        <f>Clean_Data!H32</f>
        <v>upi</v>
      </c>
      <c r="I32" t="str">
        <f>Clean_Data!I32</f>
        <v>Others</v>
      </c>
      <c r="J32" t="str">
        <f>Clean_Data!J32</f>
        <v>success</v>
      </c>
      <c r="K32" t="str">
        <f>Clean_Data!K32</f>
        <v>AADYA GUPTA</v>
      </c>
      <c r="L32" t="str">
        <f>Clean_Data!L32</f>
        <v/>
      </c>
      <c r="M32" t="str">
        <f>Clean_Data!M32</f>
        <v>NA</v>
      </c>
      <c r="N32" t="str">
        <f>Clean_Data!N32</f>
        <v>EDVIRON_EASEBUZZ</v>
      </c>
      <c r="O32" t="str">
        <f>Clean_Data!O32</f>
        <v/>
      </c>
      <c r="P32">
        <f>Clean_Data!P32</f>
        <v>2</v>
      </c>
      <c r="Q32" t="str">
        <f>Clean_Data!Q32</f>
        <v>FLAT</v>
      </c>
      <c r="R32">
        <f>Clean_Data!R32</f>
        <v>2</v>
      </c>
      <c r="S32" t="str">
        <f>Clean_Data!S32</f>
        <v>FLAT</v>
      </c>
      <c r="T32">
        <f>Clean_Data!T32</f>
        <v>0</v>
      </c>
      <c r="U32" t="str">
        <f>Clean_Data!U32</f>
        <v>FLAT</v>
      </c>
      <c r="V32">
        <f t="shared" si="2"/>
        <v>2</v>
      </c>
      <c r="W32">
        <f t="shared" si="3"/>
        <v>2</v>
      </c>
      <c r="X32">
        <f t="shared" si="4"/>
        <v>0</v>
      </c>
      <c r="Y32">
        <f t="shared" si="5"/>
        <v>0</v>
      </c>
      <c r="Z32">
        <f t="shared" si="6"/>
        <v>-2</v>
      </c>
      <c r="AA32">
        <f t="shared" si="7"/>
        <v>0</v>
      </c>
      <c r="AB32">
        <f t="shared" si="8"/>
        <v>0</v>
      </c>
      <c r="AC32">
        <f t="shared" si="9"/>
        <v>-2</v>
      </c>
      <c r="AD32">
        <f t="shared" si="10"/>
        <v>0</v>
      </c>
    </row>
    <row r="33" spans="1:30" x14ac:dyDescent="0.25">
      <c r="A33" t="str">
        <f>Clean_Data!A33</f>
        <v>24</v>
      </c>
      <c r="B33" t="str">
        <f>Clean_Data!B33</f>
        <v>ST MICHAEL'S SCHOOL FOR GIRLS</v>
      </c>
      <c r="C33" t="str">
        <f>Clean_Data!C33</f>
        <v>26/12/2025, 1:28:01 pm</v>
      </c>
      <c r="D33" t="str">
        <f>Clean_Data!D33</f>
        <v>SMED0000000406</v>
      </c>
      <c r="E33" t="str">
        <f>Clean_Data!E33</f>
        <v>694e40094a6460a709bf8467</v>
      </c>
      <c r="F33">
        <f>Clean_Data!F33</f>
        <v>36100</v>
      </c>
      <c r="G33">
        <f>Clean_Data!G33</f>
        <v>36102.36</v>
      </c>
      <c r="H33" t="str">
        <f>Clean_Data!H33</f>
        <v>upi</v>
      </c>
      <c r="I33" t="str">
        <f>Clean_Data!I33</f>
        <v>Others</v>
      </c>
      <c r="J33" t="str">
        <f>Clean_Data!J33</f>
        <v>success</v>
      </c>
      <c r="K33" t="str">
        <f>Clean_Data!K33</f>
        <v>GITASHRI MAHATO</v>
      </c>
      <c r="L33" t="str">
        <f>Clean_Data!L33</f>
        <v/>
      </c>
      <c r="M33" t="str">
        <f>Clean_Data!M33</f>
        <v>NA</v>
      </c>
      <c r="N33" t="str">
        <f>Clean_Data!N33</f>
        <v>EDVIRON_EASEBUZZ</v>
      </c>
      <c r="O33" t="str">
        <f>Clean_Data!O33</f>
        <v/>
      </c>
      <c r="P33">
        <f>Clean_Data!P33</f>
        <v>2</v>
      </c>
      <c r="Q33" t="str">
        <f>Clean_Data!Q33</f>
        <v>FLAT</v>
      </c>
      <c r="R33">
        <f>Clean_Data!R33</f>
        <v>2</v>
      </c>
      <c r="S33" t="str">
        <f>Clean_Data!S33</f>
        <v>FLAT</v>
      </c>
      <c r="T33">
        <f>Clean_Data!T33</f>
        <v>0</v>
      </c>
      <c r="U33" t="str">
        <f>Clean_Data!U33</f>
        <v>FLAT</v>
      </c>
      <c r="V33">
        <f t="shared" si="2"/>
        <v>2</v>
      </c>
      <c r="W33">
        <f t="shared" si="3"/>
        <v>2</v>
      </c>
      <c r="X33">
        <f t="shared" si="4"/>
        <v>0</v>
      </c>
      <c r="Y33">
        <f t="shared" si="5"/>
        <v>0</v>
      </c>
      <c r="Z33">
        <f t="shared" si="6"/>
        <v>-2</v>
      </c>
      <c r="AA33">
        <f t="shared" si="7"/>
        <v>0</v>
      </c>
      <c r="AB33">
        <f t="shared" si="8"/>
        <v>0</v>
      </c>
      <c r="AC33">
        <f t="shared" si="9"/>
        <v>-2</v>
      </c>
      <c r="AD33">
        <f t="shared" si="10"/>
        <v>0</v>
      </c>
    </row>
    <row r="34" spans="1:30" x14ac:dyDescent="0.25">
      <c r="A34" t="str">
        <f>Clean_Data!A34</f>
        <v>25</v>
      </c>
      <c r="B34" t="str">
        <f>Clean_Data!B34</f>
        <v>ST MICHAEL'S SCHOOL FOR GIRLS</v>
      </c>
      <c r="C34" t="str">
        <f>Clean_Data!C34</f>
        <v>1/1/2026, 12:15:40 PM</v>
      </c>
      <c r="D34" t="str">
        <f>Clean_Data!D34</f>
        <v>SMED0000000415</v>
      </c>
      <c r="E34" t="str">
        <f>Clean_Data!E34</f>
        <v>6956181407081d7fb6ab744a</v>
      </c>
      <c r="F34">
        <f>Clean_Data!F34</f>
        <v>72150</v>
      </c>
      <c r="G34">
        <f>Clean_Data!G34</f>
        <v>72152.36</v>
      </c>
      <c r="H34" t="str">
        <f>Clean_Data!H34</f>
        <v>upi</v>
      </c>
      <c r="I34" t="str">
        <f>Clean_Data!I34</f>
        <v>Others</v>
      </c>
      <c r="J34" t="str">
        <f>Clean_Data!J34</f>
        <v>success</v>
      </c>
      <c r="K34" t="str">
        <f>Clean_Data!K34</f>
        <v>SONAL KEDIA</v>
      </c>
      <c r="L34" t="str">
        <f>Clean_Data!L34</f>
        <v/>
      </c>
      <c r="M34" t="str">
        <f>Clean_Data!M34</f>
        <v>NA</v>
      </c>
      <c r="N34" t="str">
        <f>Clean_Data!N34</f>
        <v>EDVIRON_EASEBUZZ</v>
      </c>
      <c r="O34" t="str">
        <f>Clean_Data!O34</f>
        <v/>
      </c>
      <c r="P34">
        <f>Clean_Data!P34</f>
        <v>2</v>
      </c>
      <c r="Q34" t="str">
        <f>Clean_Data!Q34</f>
        <v>FLAT</v>
      </c>
      <c r="R34">
        <f>Clean_Data!R34</f>
        <v>2</v>
      </c>
      <c r="S34" t="str">
        <f>Clean_Data!S34</f>
        <v>FLAT</v>
      </c>
      <c r="T34">
        <f>Clean_Data!T34</f>
        <v>0</v>
      </c>
      <c r="U34" t="str">
        <f>Clean_Data!U34</f>
        <v>FLAT</v>
      </c>
      <c r="V34">
        <f t="shared" si="2"/>
        <v>2</v>
      </c>
      <c r="W34">
        <f t="shared" si="3"/>
        <v>2</v>
      </c>
      <c r="X34">
        <f t="shared" si="4"/>
        <v>0</v>
      </c>
      <c r="Y34">
        <f t="shared" si="5"/>
        <v>0</v>
      </c>
      <c r="Z34">
        <f t="shared" si="6"/>
        <v>-2</v>
      </c>
      <c r="AA34">
        <f t="shared" si="7"/>
        <v>0</v>
      </c>
      <c r="AB34">
        <f t="shared" si="8"/>
        <v>0</v>
      </c>
      <c r="AC34">
        <f t="shared" si="9"/>
        <v>-2</v>
      </c>
      <c r="AD34">
        <f t="shared" si="10"/>
        <v>0</v>
      </c>
    </row>
    <row r="35" spans="1:30" x14ac:dyDescent="0.25">
      <c r="A35" t="str">
        <f>Clean_Data!A35</f>
        <v>27</v>
      </c>
      <c r="B35" t="str">
        <f>Clean_Data!B35</f>
        <v>ST MICHAEL'S SCHOOL FOR GIRLS</v>
      </c>
      <c r="C35" t="str">
        <f>Clean_Data!C35</f>
        <v>16/1/2026, 12:56:58 pm</v>
      </c>
      <c r="D35" t="str">
        <f>Clean_Data!D35</f>
        <v>SMED0000000439</v>
      </c>
      <c r="E35" t="str">
        <f>Clean_Data!E35</f>
        <v>6969e84235a8e67a2c342c09</v>
      </c>
      <c r="F35">
        <f>Clean_Data!F35</f>
        <v>10950</v>
      </c>
      <c r="G35">
        <f>Clean_Data!G35</f>
        <v>10952.36</v>
      </c>
      <c r="H35" t="str">
        <f>Clean_Data!H35</f>
        <v>upi</v>
      </c>
      <c r="I35" t="str">
        <f>Clean_Data!I35</f>
        <v>Others</v>
      </c>
      <c r="J35" t="str">
        <f>Clean_Data!J35</f>
        <v>success</v>
      </c>
      <c r="K35" t="str">
        <f>Clean_Data!K35</f>
        <v>BIDITA SARKAR</v>
      </c>
      <c r="L35" t="str">
        <f>Clean_Data!L35</f>
        <v/>
      </c>
      <c r="M35" t="str">
        <f>Clean_Data!M35</f>
        <v>NA</v>
      </c>
      <c r="N35" t="str">
        <f>Clean_Data!N35</f>
        <v>EDVIRON_EASEBUZZ</v>
      </c>
      <c r="O35" t="str">
        <f>Clean_Data!O35</f>
        <v/>
      </c>
      <c r="P35">
        <f>Clean_Data!P35</f>
        <v>2</v>
      </c>
      <c r="Q35" t="str">
        <f>Clean_Data!Q35</f>
        <v>FLAT</v>
      </c>
      <c r="R35">
        <f>Clean_Data!R35</f>
        <v>2</v>
      </c>
      <c r="S35" t="str">
        <f>Clean_Data!S35</f>
        <v>FLAT</v>
      </c>
      <c r="T35">
        <f>Clean_Data!T35</f>
        <v>0</v>
      </c>
      <c r="U35" t="str">
        <f>Clean_Data!U35</f>
        <v>FLAT</v>
      </c>
      <c r="V35">
        <f t="shared" si="2"/>
        <v>2</v>
      </c>
      <c r="W35">
        <f t="shared" si="3"/>
        <v>2</v>
      </c>
      <c r="X35">
        <f t="shared" si="4"/>
        <v>0</v>
      </c>
      <c r="Y35">
        <f t="shared" si="5"/>
        <v>0</v>
      </c>
      <c r="Z35">
        <f t="shared" si="6"/>
        <v>-2</v>
      </c>
      <c r="AA35">
        <f t="shared" si="7"/>
        <v>0</v>
      </c>
      <c r="AB35">
        <f t="shared" si="8"/>
        <v>0</v>
      </c>
      <c r="AC35">
        <f t="shared" si="9"/>
        <v>-2</v>
      </c>
      <c r="AD35">
        <f t="shared" si="10"/>
        <v>0</v>
      </c>
    </row>
    <row r="36" spans="1:30" x14ac:dyDescent="0.25">
      <c r="A36" t="str">
        <f>Clean_Data!A36</f>
        <v>28</v>
      </c>
      <c r="B36" t="str">
        <f>Clean_Data!B36</f>
        <v>ST MICHAEL'S SCHOOL FOR GIRLS</v>
      </c>
      <c r="C36" t="str">
        <f>Clean_Data!C36</f>
        <v>21/1/2026, 9:17:14 pm</v>
      </c>
      <c r="D36" t="str">
        <f>Clean_Data!D36</f>
        <v>SMED0000000453</v>
      </c>
      <c r="E36" t="str">
        <f>Clean_Data!E36</f>
        <v>6970f5028b01c1a52bceaea6</v>
      </c>
      <c r="F36">
        <f>Clean_Data!F36</f>
        <v>10350</v>
      </c>
      <c r="G36">
        <f>Clean_Data!G36</f>
        <v>10352.36</v>
      </c>
      <c r="H36" t="str">
        <f>Clean_Data!H36</f>
        <v>upi</v>
      </c>
      <c r="I36" t="str">
        <f>Clean_Data!I36</f>
        <v>Others</v>
      </c>
      <c r="J36" t="str">
        <f>Clean_Data!J36</f>
        <v>success</v>
      </c>
      <c r="K36" t="str">
        <f>Clean_Data!K36</f>
        <v>TRISHA SAHA</v>
      </c>
      <c r="L36" t="str">
        <f>Clean_Data!L36</f>
        <v/>
      </c>
      <c r="M36" t="str">
        <f>Clean_Data!M36</f>
        <v>NA</v>
      </c>
      <c r="N36" t="str">
        <f>Clean_Data!N36</f>
        <v>EDVIRON_EASEBUZZ</v>
      </c>
      <c r="O36" t="str">
        <f>Clean_Data!O36</f>
        <v/>
      </c>
      <c r="P36">
        <f>Clean_Data!P36</f>
        <v>2</v>
      </c>
      <c r="Q36" t="str">
        <f>Clean_Data!Q36</f>
        <v>FLAT</v>
      </c>
      <c r="R36">
        <f>Clean_Data!R36</f>
        <v>2</v>
      </c>
      <c r="S36" t="str">
        <f>Clean_Data!S36</f>
        <v>FLAT</v>
      </c>
      <c r="T36">
        <f>Clean_Data!T36</f>
        <v>0</v>
      </c>
      <c r="U36" t="str">
        <f>Clean_Data!U36</f>
        <v>FLAT</v>
      </c>
      <c r="V36">
        <f t="shared" si="2"/>
        <v>2</v>
      </c>
      <c r="W36">
        <f t="shared" si="3"/>
        <v>2</v>
      </c>
      <c r="X36">
        <f t="shared" si="4"/>
        <v>0</v>
      </c>
      <c r="Y36">
        <f t="shared" si="5"/>
        <v>0</v>
      </c>
      <c r="Z36">
        <f t="shared" si="6"/>
        <v>-2</v>
      </c>
      <c r="AA36">
        <f t="shared" si="7"/>
        <v>0</v>
      </c>
      <c r="AB36">
        <f t="shared" si="8"/>
        <v>0</v>
      </c>
      <c r="AC36">
        <f t="shared" si="9"/>
        <v>-2</v>
      </c>
      <c r="AD36">
        <f t="shared" si="10"/>
        <v>0</v>
      </c>
    </row>
    <row r="37" spans="1:30" x14ac:dyDescent="0.25">
      <c r="A37" t="str">
        <f>Clean_Data!A37</f>
        <v>29</v>
      </c>
      <c r="B37" t="str">
        <f>Clean_Data!B37</f>
        <v>ST MICHAEL'S SCHOOL FOR GIRLS</v>
      </c>
      <c r="C37" t="str">
        <f>Clean_Data!C37</f>
        <v>22/1/2026, 3:45:52 pm</v>
      </c>
      <c r="D37" t="str">
        <f>Clean_Data!D37</f>
        <v>SMED0000000454</v>
      </c>
      <c r="E37" t="str">
        <f>Clean_Data!E37</f>
        <v>6971f8d8595909a602bf52cc</v>
      </c>
      <c r="F37">
        <f>Clean_Data!F37</f>
        <v>34325</v>
      </c>
      <c r="G37">
        <f>Clean_Data!G37</f>
        <v>34327.360000000001</v>
      </c>
      <c r="H37" t="str">
        <f>Clean_Data!H37</f>
        <v>upi</v>
      </c>
      <c r="I37" t="str">
        <f>Clean_Data!I37</f>
        <v>Others</v>
      </c>
      <c r="J37" t="str">
        <f>Clean_Data!J37</f>
        <v>success</v>
      </c>
      <c r="K37" t="str">
        <f>Clean_Data!K37</f>
        <v>TONUSHREE SAHA</v>
      </c>
      <c r="L37" t="str">
        <f>Clean_Data!L37</f>
        <v/>
      </c>
      <c r="M37" t="str">
        <f>Clean_Data!M37</f>
        <v>NA</v>
      </c>
      <c r="N37" t="str">
        <f>Clean_Data!N37</f>
        <v>EDVIRON_EASEBUZZ</v>
      </c>
      <c r="O37" t="str">
        <f>Clean_Data!O37</f>
        <v/>
      </c>
      <c r="P37">
        <f>Clean_Data!P37</f>
        <v>2</v>
      </c>
      <c r="Q37" t="str">
        <f>Clean_Data!Q37</f>
        <v>FLAT</v>
      </c>
      <c r="R37">
        <f>Clean_Data!R37</f>
        <v>2</v>
      </c>
      <c r="S37" t="str">
        <f>Clean_Data!S37</f>
        <v>FLAT</v>
      </c>
      <c r="T37">
        <f>Clean_Data!T37</f>
        <v>0</v>
      </c>
      <c r="U37" t="str">
        <f>Clean_Data!U37</f>
        <v>FLAT</v>
      </c>
      <c r="V37">
        <f t="shared" si="2"/>
        <v>2</v>
      </c>
      <c r="W37">
        <f t="shared" si="3"/>
        <v>2</v>
      </c>
      <c r="X37">
        <f t="shared" si="4"/>
        <v>0</v>
      </c>
      <c r="Y37">
        <f t="shared" si="5"/>
        <v>0</v>
      </c>
      <c r="Z37">
        <f t="shared" si="6"/>
        <v>-2</v>
      </c>
      <c r="AA37">
        <f t="shared" si="7"/>
        <v>0</v>
      </c>
      <c r="AB37">
        <f t="shared" si="8"/>
        <v>0</v>
      </c>
      <c r="AC37">
        <f t="shared" si="9"/>
        <v>-2</v>
      </c>
      <c r="AD37">
        <f t="shared" si="10"/>
        <v>0</v>
      </c>
    </row>
    <row r="38" spans="1:30" x14ac:dyDescent="0.25">
      <c r="K38" s="9"/>
      <c r="L38" s="9"/>
      <c r="M38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53E19-773B-4A9D-A6C6-BF1E1C239343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C25DA-4A83-4B06-AA1D-E4B457DCC02B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Clean_Data</vt:lpstr>
      <vt:lpstr>Calculations</vt:lpstr>
      <vt:lpstr>Dashboard</vt:lpstr>
      <vt:lpstr>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Vineeth Kumar Shambuni</dc:creator>
  <cp:lastModifiedBy>Vineeth Kumar</cp:lastModifiedBy>
  <dcterms:created xsi:type="dcterms:W3CDTF">2026-03-01T05:50:51Z</dcterms:created>
  <dcterms:modified xsi:type="dcterms:W3CDTF">2026-03-02T05:21:51Z</dcterms:modified>
</cp:coreProperties>
</file>